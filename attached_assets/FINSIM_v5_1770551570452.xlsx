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66925"/>
  <mc:AlternateContent xmlns:mc="http://schemas.openxmlformats.org/markup-compatibility/2006">
    <mc:Choice Requires="x15">
      <x15ac:absPath xmlns:x15ac="http://schemas.microsoft.com/office/spreadsheetml/2010/11/ac" url="https://d.docs.live.net/9AE16B37AB96CD63/RealSmart Content/"/>
    </mc:Choice>
  </mc:AlternateContent>
  <xr:revisionPtr revIDLastSave="10" documentId="8_{40580B1B-360F-4D50-AA35-2DD4AF52E782}" xr6:coauthVersionLast="47" xr6:coauthVersionMax="47" xr10:uidLastSave="{8E7621BA-466F-43DE-9C3C-323C59B2055A}"/>
  <bookViews>
    <workbookView xWindow="7050" yWindow="4065" windowWidth="21600" windowHeight="11385" xr2:uid="{478D9300-F64D-464E-8E8D-98588682416A}"/>
  </bookViews>
  <sheets>
    <sheet name="Simulator" sheetId="3" r:id="rId1"/>
    <sheet name="Interpretation" sheetId="1" r:id="rId2"/>
    <sheet name="Rules variations &amp; narratives" sheetId="4" r:id="rId3"/>
  </sheets>
  <definedNames>
    <definedName name="ExtraMonthlySavings">Simulator!$E$19</definedName>
    <definedName name="GapAtTarget">Simulator!$E$13</definedName>
    <definedName name="solver_adj" localSheetId="0" hidden="1">Simulator!$B$9</definedName>
    <definedName name="solver_cvg" localSheetId="0" hidden="1">0.0001</definedName>
    <definedName name="solver_drv" localSheetId="0" hidden="1">2</definedName>
    <definedName name="solver_eng" localSheetId="0" hidden="1">1</definedName>
    <definedName name="solver_est" localSheetId="0" hidden="1">1</definedName>
    <definedName name="solver_itr" localSheetId="0" hidden="1">2147483647</definedName>
    <definedName name="solver_mip" localSheetId="0" hidden="1">2147483647</definedName>
    <definedName name="solver_mni" localSheetId="0" hidden="1">30</definedName>
    <definedName name="solver_mrt" localSheetId="0" hidden="1">0.075</definedName>
    <definedName name="solver_msl" localSheetId="0" hidden="1">2</definedName>
    <definedName name="solver_neg" localSheetId="0" hidden="1">1</definedName>
    <definedName name="solver_nod" localSheetId="0" hidden="1">2147483647</definedName>
    <definedName name="solver_num" localSheetId="0" hidden="1">0</definedName>
    <definedName name="solver_nwt" localSheetId="0" hidden="1">1</definedName>
    <definedName name="solver_opt" localSheetId="0" hidden="1">Simulator!$E$9</definedName>
    <definedName name="solver_pre" localSheetId="0" hidden="1">0.000001</definedName>
    <definedName name="solver_rbv" localSheetId="0" hidden="1">2</definedName>
    <definedName name="solver_rlx" localSheetId="0" hidden="1">2</definedName>
    <definedName name="solver_rsd" localSheetId="0" hidden="1">0</definedName>
    <definedName name="solver_scl" localSheetId="0" hidden="1">2</definedName>
    <definedName name="solver_sho" localSheetId="0" hidden="1">2</definedName>
    <definedName name="solver_ssz" localSheetId="0" hidden="1">100</definedName>
    <definedName name="solver_tim" localSheetId="0" hidden="1">2147483647</definedName>
    <definedName name="solver_tol" localSheetId="0" hidden="1">0.01</definedName>
    <definedName name="solver_typ" localSheetId="0" hidden="1">3</definedName>
    <definedName name="solver_val" localSheetId="0" hidden="1">1076000</definedName>
    <definedName name="solver_ver" localSheetId="0" hidden="1">3</definedName>
    <definedName name="YearsPlusMinus">Simulator!$E$16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1" l="1"/>
  <c r="B18" i="1"/>
  <c r="B8" i="1"/>
  <c r="B25" i="3"/>
  <c r="C25" i="3"/>
  <c r="E25" i="3" s="1"/>
  <c r="B10" i="3"/>
  <c r="D25" i="3"/>
  <c r="G25" i="3" l="1"/>
  <c r="I25" i="3" s="1"/>
  <c r="F25" i="3"/>
  <c r="E15" i="3"/>
  <c r="A26" i="3"/>
  <c r="B26" i="3" s="1"/>
  <c r="D26" i="3"/>
  <c r="E4" i="3"/>
  <c r="B4" i="1" s="1"/>
  <c r="E5" i="3" l="1"/>
  <c r="I12" i="3" s="1"/>
  <c r="B6" i="1"/>
  <c r="D27" i="3"/>
  <c r="D28" i="3" s="1"/>
  <c r="C26" i="3"/>
  <c r="E26" i="3" s="1"/>
  <c r="A27" i="3"/>
  <c r="B27" i="3" s="1"/>
  <c r="E19" i="3" l="1"/>
  <c r="K26" i="3"/>
  <c r="K30" i="3"/>
  <c r="K34" i="3"/>
  <c r="K38" i="3"/>
  <c r="K42" i="3"/>
  <c r="K46" i="3"/>
  <c r="K50" i="3"/>
  <c r="K54" i="3"/>
  <c r="K58" i="3"/>
  <c r="K62" i="3"/>
  <c r="K66" i="3"/>
  <c r="K70" i="3"/>
  <c r="K74" i="3"/>
  <c r="K78" i="3"/>
  <c r="K28" i="3"/>
  <c r="K32" i="3"/>
  <c r="K36" i="3"/>
  <c r="K40" i="3"/>
  <c r="K44" i="3"/>
  <c r="K48" i="3"/>
  <c r="K52" i="3"/>
  <c r="K56" i="3"/>
  <c r="K60" i="3"/>
  <c r="K64" i="3"/>
  <c r="K68" i="3"/>
  <c r="K72" i="3"/>
  <c r="K76" i="3"/>
  <c r="K80" i="3"/>
  <c r="K29" i="3"/>
  <c r="K33" i="3"/>
  <c r="K37" i="3"/>
  <c r="K41" i="3"/>
  <c r="K45" i="3"/>
  <c r="K49" i="3"/>
  <c r="K53" i="3"/>
  <c r="K57" i="3"/>
  <c r="K61" i="3"/>
  <c r="K65" i="3"/>
  <c r="K69" i="3"/>
  <c r="K73" i="3"/>
  <c r="K77" i="3"/>
  <c r="K25" i="3"/>
  <c r="K27" i="3"/>
  <c r="K31" i="3"/>
  <c r="K35" i="3"/>
  <c r="K39" i="3"/>
  <c r="K43" i="3"/>
  <c r="K47" i="3"/>
  <c r="K51" i="3"/>
  <c r="K55" i="3"/>
  <c r="K59" i="3"/>
  <c r="K63" i="3"/>
  <c r="K67" i="3"/>
  <c r="K71" i="3"/>
  <c r="K75" i="3"/>
  <c r="K79" i="3"/>
  <c r="I10" i="3"/>
  <c r="E20" i="3"/>
  <c r="I11" i="3"/>
  <c r="E18" i="3"/>
  <c r="B7" i="1"/>
  <c r="I6" i="3"/>
  <c r="I5" i="3"/>
  <c r="I7" i="3"/>
  <c r="I8" i="3"/>
  <c r="I9" i="3"/>
  <c r="D29" i="3"/>
  <c r="D30" i="3" s="1"/>
  <c r="D31" i="3" s="1"/>
  <c r="D32" i="3" s="1"/>
  <c r="D33" i="3" s="1"/>
  <c r="D34" i="3" s="1"/>
  <c r="D35" i="3" s="1"/>
  <c r="D36" i="3" s="1"/>
  <c r="D37" i="3" s="1"/>
  <c r="D38" i="3" s="1"/>
  <c r="D39" i="3" s="1"/>
  <c r="D40" i="3" s="1"/>
  <c r="D41" i="3" s="1"/>
  <c r="D42" i="3" s="1"/>
  <c r="D43" i="3" s="1"/>
  <c r="D44" i="3" s="1"/>
  <c r="D45" i="3" s="1"/>
  <c r="D46" i="3" s="1"/>
  <c r="D47" i="3" s="1"/>
  <c r="D48" i="3" s="1"/>
  <c r="D49" i="3" s="1"/>
  <c r="D50" i="3" s="1"/>
  <c r="D51" i="3" s="1"/>
  <c r="D52" i="3" s="1"/>
  <c r="D53" i="3" s="1"/>
  <c r="D54" i="3" s="1"/>
  <c r="D55" i="3" s="1"/>
  <c r="D56" i="3" s="1"/>
  <c r="D57" i="3" s="1"/>
  <c r="D58" i="3" s="1"/>
  <c r="D59" i="3" s="1"/>
  <c r="D60" i="3" s="1"/>
  <c r="D61" i="3" s="1"/>
  <c r="D62" i="3" s="1"/>
  <c r="D63" i="3" s="1"/>
  <c r="D64" i="3" s="1"/>
  <c r="D65" i="3" s="1"/>
  <c r="D66" i="3" s="1"/>
  <c r="D67" i="3" s="1"/>
  <c r="D68" i="3" s="1"/>
  <c r="D69" i="3" s="1"/>
  <c r="D70" i="3" s="1"/>
  <c r="D71" i="3" s="1"/>
  <c r="D72" i="3" s="1"/>
  <c r="D73" i="3" s="1"/>
  <c r="D74" i="3" s="1"/>
  <c r="D75" i="3" s="1"/>
  <c r="D76" i="3" s="1"/>
  <c r="D77" i="3" s="1"/>
  <c r="D78" i="3" s="1"/>
  <c r="D79" i="3" s="1"/>
  <c r="D80" i="3" s="1"/>
  <c r="F26" i="3"/>
  <c r="C27" i="3" s="1"/>
  <c r="E27" i="3" s="1"/>
  <c r="A28" i="3"/>
  <c r="B28" i="3" s="1"/>
  <c r="H25" i="3" l="1"/>
  <c r="B19" i="1"/>
  <c r="F27" i="3"/>
  <c r="A29" i="3"/>
  <c r="B29" i="3" s="1"/>
  <c r="J25" i="3" l="1"/>
  <c r="G26" i="3" s="1"/>
  <c r="H26" i="3"/>
  <c r="H27" i="3" s="1"/>
  <c r="H28" i="3" s="1"/>
  <c r="H29" i="3" s="1"/>
  <c r="H30" i="3" s="1"/>
  <c r="H31" i="3" s="1"/>
  <c r="H32" i="3" s="1"/>
  <c r="H33" i="3" s="1"/>
  <c r="H34" i="3" s="1"/>
  <c r="H35" i="3" s="1"/>
  <c r="H36" i="3" s="1"/>
  <c r="H37" i="3" s="1"/>
  <c r="H38" i="3" s="1"/>
  <c r="H39" i="3" s="1"/>
  <c r="H40" i="3" s="1"/>
  <c r="H41" i="3" s="1"/>
  <c r="H42" i="3" s="1"/>
  <c r="H43" i="3" s="1"/>
  <c r="H44" i="3" s="1"/>
  <c r="H45" i="3" s="1"/>
  <c r="H46" i="3" s="1"/>
  <c r="H47" i="3" s="1"/>
  <c r="H48" i="3" s="1"/>
  <c r="H49" i="3" s="1"/>
  <c r="H50" i="3" s="1"/>
  <c r="H51" i="3" s="1"/>
  <c r="H52" i="3" s="1"/>
  <c r="H53" i="3" s="1"/>
  <c r="H54" i="3" s="1"/>
  <c r="H55" i="3" s="1"/>
  <c r="H56" i="3" s="1"/>
  <c r="H57" i="3" s="1"/>
  <c r="H58" i="3" s="1"/>
  <c r="H59" i="3" s="1"/>
  <c r="H60" i="3" s="1"/>
  <c r="H61" i="3" s="1"/>
  <c r="H62" i="3" s="1"/>
  <c r="H63" i="3" s="1"/>
  <c r="H64" i="3" s="1"/>
  <c r="H65" i="3" s="1"/>
  <c r="H66" i="3" s="1"/>
  <c r="H67" i="3" s="1"/>
  <c r="H68" i="3" s="1"/>
  <c r="H69" i="3" s="1"/>
  <c r="H70" i="3" s="1"/>
  <c r="H71" i="3" s="1"/>
  <c r="H72" i="3" s="1"/>
  <c r="H73" i="3" s="1"/>
  <c r="H74" i="3" s="1"/>
  <c r="H75" i="3" s="1"/>
  <c r="H76" i="3" s="1"/>
  <c r="H77" i="3" s="1"/>
  <c r="H78" i="3" s="1"/>
  <c r="H79" i="3" s="1"/>
  <c r="H80" i="3" s="1"/>
  <c r="A30" i="3"/>
  <c r="B30" i="3" s="1"/>
  <c r="C28" i="3"/>
  <c r="E28" i="3" s="1"/>
  <c r="I26" i="3" l="1"/>
  <c r="J26" i="3" s="1"/>
  <c r="G27" i="3" s="1"/>
  <c r="I27" i="3" s="1"/>
  <c r="J27" i="3" s="1"/>
  <c r="G28" i="3" s="1"/>
  <c r="I28" i="3" s="1"/>
  <c r="J28" i="3" s="1"/>
  <c r="G29" i="3" s="1"/>
  <c r="I29" i="3" s="1"/>
  <c r="J29" i="3" s="1"/>
  <c r="G30" i="3" s="1"/>
  <c r="I30" i="3" s="1"/>
  <c r="J30" i="3" s="1"/>
  <c r="G31" i="3" s="1"/>
  <c r="I31" i="3" s="1"/>
  <c r="J31" i="3" s="1"/>
  <c r="G32" i="3" s="1"/>
  <c r="I32" i="3" s="1"/>
  <c r="J32" i="3" s="1"/>
  <c r="G33" i="3" s="1"/>
  <c r="F28" i="3"/>
  <c r="A31" i="3"/>
  <c r="B31" i="3" s="1"/>
  <c r="I33" i="3" l="1"/>
  <c r="J33" i="3" s="1"/>
  <c r="G34" i="3" s="1"/>
  <c r="A32" i="3"/>
  <c r="B32" i="3" s="1"/>
  <c r="C29" i="3"/>
  <c r="E29" i="3" s="1"/>
  <c r="I34" i="3" l="1"/>
  <c r="J34" i="3" s="1"/>
  <c r="G35" i="3" s="1"/>
  <c r="F29" i="3"/>
  <c r="A33" i="3"/>
  <c r="B33" i="3" s="1"/>
  <c r="I35" i="3" l="1"/>
  <c r="J35" i="3" s="1"/>
  <c r="G36" i="3" s="1"/>
  <c r="C30" i="3"/>
  <c r="E30" i="3" s="1"/>
  <c r="A34" i="3"/>
  <c r="B34" i="3" s="1"/>
  <c r="I36" i="3" l="1"/>
  <c r="J36" i="3" s="1"/>
  <c r="G37" i="3" s="1"/>
  <c r="A35" i="3"/>
  <c r="B35" i="3" s="1"/>
  <c r="F30" i="3"/>
  <c r="I37" i="3" l="1"/>
  <c r="J37" i="3" s="1"/>
  <c r="G38" i="3" s="1"/>
  <c r="C31" i="3"/>
  <c r="E31" i="3" s="1"/>
  <c r="A36" i="3"/>
  <c r="B36" i="3" s="1"/>
  <c r="I38" i="3" l="1"/>
  <c r="J38" i="3" s="1"/>
  <c r="G39" i="3" s="1"/>
  <c r="F31" i="3"/>
  <c r="A37" i="3"/>
  <c r="B37" i="3" s="1"/>
  <c r="I39" i="3" l="1"/>
  <c r="J39" i="3" s="1"/>
  <c r="G40" i="3" s="1"/>
  <c r="A38" i="3"/>
  <c r="B38" i="3" s="1"/>
  <c r="C32" i="3"/>
  <c r="I40" i="3" l="1"/>
  <c r="J40" i="3" s="1"/>
  <c r="G41" i="3" s="1"/>
  <c r="A39" i="3"/>
  <c r="B39" i="3" s="1"/>
  <c r="E32" i="3"/>
  <c r="F32" i="3" s="1"/>
  <c r="I41" i="3" l="1"/>
  <c r="J41" i="3" s="1"/>
  <c r="G42" i="3" s="1"/>
  <c r="C33" i="3"/>
  <c r="A40" i="3"/>
  <c r="B40" i="3" s="1"/>
  <c r="I42" i="3" l="1"/>
  <c r="J42" i="3" s="1"/>
  <c r="G43" i="3" s="1"/>
  <c r="A41" i="3"/>
  <c r="B41" i="3" s="1"/>
  <c r="E33" i="3"/>
  <c r="F33" i="3" s="1"/>
  <c r="I43" i="3" l="1"/>
  <c r="J43" i="3" s="1"/>
  <c r="G44" i="3" s="1"/>
  <c r="C34" i="3"/>
  <c r="A42" i="3"/>
  <c r="B42" i="3" s="1"/>
  <c r="I44" i="3" l="1"/>
  <c r="J44" i="3" s="1"/>
  <c r="G45" i="3" s="1"/>
  <c r="E34" i="3"/>
  <c r="F34" i="3" s="1"/>
  <c r="A43" i="3"/>
  <c r="B43" i="3" s="1"/>
  <c r="I45" i="3" l="1"/>
  <c r="J45" i="3" s="1"/>
  <c r="G46" i="3" s="1"/>
  <c r="C35" i="3"/>
  <c r="A44" i="3"/>
  <c r="B44" i="3" s="1"/>
  <c r="I46" i="3" l="1"/>
  <c r="J46" i="3" s="1"/>
  <c r="G47" i="3" s="1"/>
  <c r="A45" i="3"/>
  <c r="B45" i="3" s="1"/>
  <c r="E35" i="3"/>
  <c r="F35" i="3" s="1"/>
  <c r="I47" i="3" l="1"/>
  <c r="J47" i="3" s="1"/>
  <c r="G48" i="3" s="1"/>
  <c r="C36" i="3"/>
  <c r="A46" i="3"/>
  <c r="B46" i="3" s="1"/>
  <c r="I48" i="3" l="1"/>
  <c r="J48" i="3" s="1"/>
  <c r="G49" i="3" s="1"/>
  <c r="A47" i="3"/>
  <c r="B47" i="3" s="1"/>
  <c r="E36" i="3"/>
  <c r="F36" i="3" s="1"/>
  <c r="I49" i="3" l="1"/>
  <c r="J49" i="3" s="1"/>
  <c r="G50" i="3" s="1"/>
  <c r="C37" i="3"/>
  <c r="A48" i="3"/>
  <c r="B48" i="3" s="1"/>
  <c r="I50" i="3" l="1"/>
  <c r="J50" i="3" s="1"/>
  <c r="G51" i="3" s="1"/>
  <c r="A49" i="3"/>
  <c r="B49" i="3" s="1"/>
  <c r="E37" i="3"/>
  <c r="F37" i="3" s="1"/>
  <c r="I51" i="3" l="1"/>
  <c r="J51" i="3" s="1"/>
  <c r="G52" i="3" s="1"/>
  <c r="C38" i="3"/>
  <c r="A50" i="3"/>
  <c r="B50" i="3" s="1"/>
  <c r="I52" i="3" l="1"/>
  <c r="J52" i="3" s="1"/>
  <c r="G53" i="3" s="1"/>
  <c r="A51" i="3"/>
  <c r="B51" i="3" s="1"/>
  <c r="E38" i="3"/>
  <c r="F38" i="3" s="1"/>
  <c r="I53" i="3" l="1"/>
  <c r="J53" i="3" s="1"/>
  <c r="G54" i="3" s="1"/>
  <c r="A52" i="3"/>
  <c r="B52" i="3" s="1"/>
  <c r="C39" i="3"/>
  <c r="I54" i="3" l="1"/>
  <c r="J54" i="3" s="1"/>
  <c r="G55" i="3" s="1"/>
  <c r="A53" i="3"/>
  <c r="B53" i="3" s="1"/>
  <c r="E39" i="3"/>
  <c r="F39" i="3" s="1"/>
  <c r="I55" i="3" l="1"/>
  <c r="J55" i="3" s="1"/>
  <c r="G56" i="3" s="1"/>
  <c r="A54" i="3"/>
  <c r="B54" i="3" s="1"/>
  <c r="C40" i="3"/>
  <c r="I56" i="3" l="1"/>
  <c r="J56" i="3" s="1"/>
  <c r="G57" i="3" s="1"/>
  <c r="A55" i="3"/>
  <c r="B55" i="3" s="1"/>
  <c r="E40" i="3"/>
  <c r="F40" i="3" s="1"/>
  <c r="I57" i="3" l="1"/>
  <c r="J57" i="3" s="1"/>
  <c r="G58" i="3" s="1"/>
  <c r="A56" i="3"/>
  <c r="B56" i="3" s="1"/>
  <c r="C41" i="3"/>
  <c r="I58" i="3" l="1"/>
  <c r="J58" i="3" s="1"/>
  <c r="G59" i="3" s="1"/>
  <c r="A57" i="3"/>
  <c r="B57" i="3" s="1"/>
  <c r="E41" i="3"/>
  <c r="F41" i="3" s="1"/>
  <c r="I59" i="3" l="1"/>
  <c r="J59" i="3" s="1"/>
  <c r="G60" i="3" s="1"/>
  <c r="A58" i="3"/>
  <c r="B58" i="3" s="1"/>
  <c r="C42" i="3"/>
  <c r="I60" i="3" l="1"/>
  <c r="J60" i="3" s="1"/>
  <c r="G61" i="3" s="1"/>
  <c r="A59" i="3"/>
  <c r="B59" i="3" s="1"/>
  <c r="E42" i="3"/>
  <c r="F42" i="3" s="1"/>
  <c r="I61" i="3" l="1"/>
  <c r="J61" i="3" s="1"/>
  <c r="G62" i="3" s="1"/>
  <c r="A60" i="3"/>
  <c r="B60" i="3" s="1"/>
  <c r="C43" i="3"/>
  <c r="I62" i="3" l="1"/>
  <c r="J62" i="3" s="1"/>
  <c r="G63" i="3" s="1"/>
  <c r="A61" i="3"/>
  <c r="B61" i="3" s="1"/>
  <c r="E43" i="3"/>
  <c r="F43" i="3" s="1"/>
  <c r="I63" i="3" l="1"/>
  <c r="J63" i="3" s="1"/>
  <c r="G64" i="3" s="1"/>
  <c r="A62" i="3"/>
  <c r="B62" i="3" s="1"/>
  <c r="C44" i="3"/>
  <c r="I64" i="3" l="1"/>
  <c r="J64" i="3" s="1"/>
  <c r="G65" i="3" s="1"/>
  <c r="A63" i="3"/>
  <c r="B63" i="3" s="1"/>
  <c r="E44" i="3"/>
  <c r="F44" i="3" s="1"/>
  <c r="I65" i="3" l="1"/>
  <c r="J65" i="3" s="1"/>
  <c r="G66" i="3" s="1"/>
  <c r="A64" i="3"/>
  <c r="B64" i="3" s="1"/>
  <c r="C45" i="3"/>
  <c r="I66" i="3" l="1"/>
  <c r="J66" i="3" s="1"/>
  <c r="G67" i="3" s="1"/>
  <c r="A65" i="3"/>
  <c r="B65" i="3" s="1"/>
  <c r="E45" i="3"/>
  <c r="F45" i="3" s="1"/>
  <c r="I67" i="3" l="1"/>
  <c r="J67" i="3" s="1"/>
  <c r="G68" i="3" s="1"/>
  <c r="A66" i="3"/>
  <c r="B66" i="3" s="1"/>
  <c r="C46" i="3"/>
  <c r="I68" i="3" l="1"/>
  <c r="J68" i="3" s="1"/>
  <c r="G69" i="3" s="1"/>
  <c r="A67" i="3"/>
  <c r="B67" i="3" s="1"/>
  <c r="E46" i="3"/>
  <c r="F46" i="3" s="1"/>
  <c r="I69" i="3" l="1"/>
  <c r="J69" i="3" s="1"/>
  <c r="G70" i="3" s="1"/>
  <c r="A68" i="3"/>
  <c r="B68" i="3" s="1"/>
  <c r="C47" i="3"/>
  <c r="I70" i="3" l="1"/>
  <c r="J70" i="3" s="1"/>
  <c r="G71" i="3" s="1"/>
  <c r="A69" i="3"/>
  <c r="B69" i="3" s="1"/>
  <c r="E47" i="3"/>
  <c r="F47" i="3" s="1"/>
  <c r="I71" i="3" l="1"/>
  <c r="J71" i="3" s="1"/>
  <c r="G72" i="3" s="1"/>
  <c r="A70" i="3"/>
  <c r="B70" i="3" s="1"/>
  <c r="C48" i="3"/>
  <c r="I72" i="3" l="1"/>
  <c r="J72" i="3" s="1"/>
  <c r="G73" i="3" s="1"/>
  <c r="A71" i="3"/>
  <c r="B71" i="3" s="1"/>
  <c r="E48" i="3"/>
  <c r="F48" i="3" s="1"/>
  <c r="I73" i="3" l="1"/>
  <c r="J73" i="3" s="1"/>
  <c r="G74" i="3" s="1"/>
  <c r="A72" i="3"/>
  <c r="B72" i="3" s="1"/>
  <c r="C49" i="3"/>
  <c r="E49" i="3" s="1"/>
  <c r="I74" i="3" l="1"/>
  <c r="J74" i="3" s="1"/>
  <c r="G75" i="3" s="1"/>
  <c r="A73" i="3"/>
  <c r="B73" i="3" s="1"/>
  <c r="F49" i="3"/>
  <c r="I75" i="3" l="1"/>
  <c r="J75" i="3" s="1"/>
  <c r="G76" i="3" s="1"/>
  <c r="A74" i="3"/>
  <c r="B74" i="3" s="1"/>
  <c r="C50" i="3"/>
  <c r="I76" i="3" l="1"/>
  <c r="J76" i="3" s="1"/>
  <c r="G77" i="3" s="1"/>
  <c r="E50" i="3"/>
  <c r="F50" i="3" s="1"/>
  <c r="A75" i="3"/>
  <c r="B75" i="3" s="1"/>
  <c r="I77" i="3" l="1"/>
  <c r="J77" i="3" s="1"/>
  <c r="G78" i="3" s="1"/>
  <c r="A76" i="3"/>
  <c r="B76" i="3" s="1"/>
  <c r="C51" i="3"/>
  <c r="E51" i="3" s="1"/>
  <c r="I78" i="3" l="1"/>
  <c r="J78" i="3" s="1"/>
  <c r="G79" i="3" s="1"/>
  <c r="A77" i="3"/>
  <c r="B77" i="3" s="1"/>
  <c r="F51" i="3"/>
  <c r="C52" i="3" s="1"/>
  <c r="I79" i="3" l="1"/>
  <c r="J79" i="3" s="1"/>
  <c r="G80" i="3" s="1"/>
  <c r="A78" i="3"/>
  <c r="B78" i="3" s="1"/>
  <c r="E52" i="3"/>
  <c r="F52" i="3" s="1"/>
  <c r="J11" i="3" l="1"/>
  <c r="J10" i="3"/>
  <c r="J8" i="3"/>
  <c r="J9" i="3"/>
  <c r="J5" i="3"/>
  <c r="J6" i="3"/>
  <c r="J7" i="3"/>
  <c r="J12" i="3"/>
  <c r="I80" i="3"/>
  <c r="J80" i="3" s="1"/>
  <c r="A79" i="3"/>
  <c r="B79" i="3" s="1"/>
  <c r="C53" i="3"/>
  <c r="E53" i="3" s="1"/>
  <c r="A80" i="3" l="1"/>
  <c r="B80" i="3" s="1"/>
  <c r="E6" i="3" s="1"/>
  <c r="E7" i="3" s="1"/>
  <c r="F53" i="3"/>
  <c r="E10" i="3" l="1"/>
  <c r="C54" i="3"/>
  <c r="E54" i="3" s="1"/>
  <c r="F54" i="3" s="1"/>
  <c r="C55" i="3" l="1"/>
  <c r="E55" i="3" l="1"/>
  <c r="F55" i="3" s="1"/>
  <c r="C56" i="3" l="1"/>
  <c r="E56" i="3" s="1"/>
  <c r="F56" i="3" l="1"/>
  <c r="C57" i="3" l="1"/>
  <c r="E57" i="3" l="1"/>
  <c r="F57" i="3" s="1"/>
  <c r="C58" i="3" l="1"/>
  <c r="E58" i="3" l="1"/>
  <c r="F58" i="3" s="1"/>
  <c r="C59" i="3" l="1"/>
  <c r="E59" i="3" l="1"/>
  <c r="F59" i="3" s="1"/>
  <c r="C60" i="3" l="1"/>
  <c r="E60" i="3" l="1"/>
  <c r="F60" i="3" s="1"/>
  <c r="C61" i="3" l="1"/>
  <c r="E61" i="3" l="1"/>
  <c r="F61" i="3" s="1"/>
  <c r="C62" i="3" l="1"/>
  <c r="E62" i="3" l="1"/>
  <c r="F62" i="3" s="1"/>
  <c r="C63" i="3" l="1"/>
  <c r="E63" i="3" l="1"/>
  <c r="F63" i="3" s="1"/>
  <c r="C64" i="3" l="1"/>
  <c r="E64" i="3" l="1"/>
  <c r="F64" i="3" s="1"/>
  <c r="C65" i="3" l="1"/>
  <c r="E13" i="3" l="1"/>
  <c r="F13" i="3" s="1"/>
  <c r="B22" i="1" s="1"/>
  <c r="C2" i="4" s="1"/>
  <c r="E9" i="3"/>
  <c r="B13" i="1" s="1"/>
  <c r="E65" i="3"/>
  <c r="F65" i="3" s="1"/>
  <c r="H4" i="3" l="1"/>
  <c r="E11" i="3"/>
  <c r="C66" i="3"/>
  <c r="E66" i="3" l="1"/>
  <c r="F66" i="3" s="1"/>
  <c r="C67" i="3" l="1"/>
  <c r="E67" i="3" l="1"/>
  <c r="F67" i="3" s="1"/>
  <c r="C68" i="3" l="1"/>
  <c r="E68" i="3" l="1"/>
  <c r="F68" i="3" s="1"/>
  <c r="C69" i="3" l="1"/>
  <c r="E69" i="3" l="1"/>
  <c r="F69" i="3" s="1"/>
  <c r="C70" i="3" l="1"/>
  <c r="E70" i="3" l="1"/>
  <c r="F70" i="3" s="1"/>
  <c r="C71" i="3" l="1"/>
  <c r="E71" i="3" l="1"/>
  <c r="F71" i="3" s="1"/>
  <c r="C72" i="3" l="1"/>
  <c r="E72" i="3" l="1"/>
  <c r="F72" i="3" s="1"/>
  <c r="C73" i="3" l="1"/>
  <c r="E73" i="3" l="1"/>
  <c r="F73" i="3" s="1"/>
  <c r="C74" i="3" l="1"/>
  <c r="E74" i="3" l="1"/>
  <c r="F74" i="3" s="1"/>
  <c r="C75" i="3" l="1"/>
  <c r="E75" i="3" l="1"/>
  <c r="F75" i="3" s="1"/>
  <c r="C76" i="3" l="1"/>
  <c r="E76" i="3" l="1"/>
  <c r="F76" i="3" s="1"/>
  <c r="C77" i="3" l="1"/>
  <c r="E77" i="3" l="1"/>
  <c r="F77" i="3" s="1"/>
  <c r="C78" i="3" l="1"/>
  <c r="E78" i="3" l="1"/>
  <c r="F78" i="3" s="1"/>
  <c r="C79" i="3" l="1"/>
  <c r="E79" i="3" l="1"/>
  <c r="F79" i="3" s="1"/>
  <c r="C80" i="3" l="1"/>
  <c r="E14" i="3" l="1"/>
  <c r="E80" i="3"/>
  <c r="F80" i="3" s="1"/>
  <c r="E16" i="3" l="1"/>
  <c r="B14" i="1" s="1"/>
  <c r="B15" i="1"/>
</calcChain>
</file>

<file path=xl/sharedStrings.xml><?xml version="1.0" encoding="utf-8"?>
<sst xmlns="http://schemas.openxmlformats.org/spreadsheetml/2006/main" count="139" uniqueCount="132">
  <si>
    <t>Financial Freedom Simulator Inputs</t>
  </si>
  <si>
    <t>Sensitivity analysis</t>
  </si>
  <si>
    <t>Field Name</t>
  </si>
  <si>
    <t>Value</t>
  </si>
  <si>
    <t>Summary</t>
  </si>
  <si>
    <t>Annual Return</t>
  </si>
  <si>
    <t>Sens. Ending Capital at target Age</t>
  </si>
  <si>
    <t>Meets Required?</t>
  </si>
  <si>
    <t>How many more years till you reached required capital</t>
  </si>
  <si>
    <t>Current Age (years)</t>
  </si>
  <si>
    <t>Inflation-adj. monthly income at target (€):</t>
  </si>
  <si>
    <t>Target Age for Financial Freedom (years)</t>
  </si>
  <si>
    <t>Required Capital at target age (€):</t>
  </si>
  <si>
    <t>Current Monthly Net Income (€)</t>
  </si>
  <si>
    <t>Total capital contribution</t>
  </si>
  <si>
    <t>Inflation Rate (% per year)</t>
  </si>
  <si>
    <t>Total return</t>
  </si>
  <si>
    <t>Desired Monthly Income at Freedom (€ today’s)</t>
  </si>
  <si>
    <t>Current Monthly Savings (€)</t>
  </si>
  <si>
    <t>Ending capital at target Age</t>
  </si>
  <si>
    <t>% of Monthly income saved</t>
  </si>
  <si>
    <t>Annual Savings Increase (% per year)</t>
  </si>
  <si>
    <t>Annual Investment Return Rate (% per year)</t>
  </si>
  <si>
    <t>variation (rule)</t>
  </si>
  <si>
    <t>Safe Withdrawal Rate (% per year)</t>
  </si>
  <si>
    <t>Gap/Surplus at target (€):</t>
  </si>
  <si>
    <t>Starting capital</t>
  </si>
  <si>
    <t>At this pace you will retire at</t>
  </si>
  <si>
    <t>Instead of (your target)</t>
  </si>
  <si>
    <t>Years ± Freedom (at current pace):</t>
  </si>
  <si>
    <t>when negative you retire earlier by x, if positive you retire later by x</t>
  </si>
  <si>
    <t>When</t>
  </si>
  <si>
    <t>Capital withdrawal</t>
  </si>
  <si>
    <t>Target monthly savings</t>
  </si>
  <si>
    <t>Additional Monthly Savings Required (€):</t>
  </si>
  <si>
    <t>or Additional Capital required</t>
  </si>
  <si>
    <t>Your Plan</t>
  </si>
  <si>
    <t>Your target</t>
  </si>
  <si>
    <t>Year</t>
  </si>
  <si>
    <t>Age</t>
  </si>
  <si>
    <t>Starting Capital (€)</t>
  </si>
  <si>
    <t>Annual Savings (€)</t>
  </si>
  <si>
    <t>Annual Returns (€)</t>
  </si>
  <si>
    <t>Ending Capital (€)</t>
  </si>
  <si>
    <t>Required ending capital</t>
  </si>
  <si>
    <t>Required capital benchmark</t>
  </si>
  <si>
    <t>FINANCIAL INDEPENDENCE</t>
  </si>
  <si>
    <t>Your desired monthly income at retirement is</t>
  </si>
  <si>
    <t>however if you take into account the rise in prices by the time you get to retirement you ll need to earn a  monthly income of</t>
  </si>
  <si>
    <t>To be able to earn your desired monthly income of</t>
  </si>
  <si>
    <t>You will need to accumulate a capital of</t>
  </si>
  <si>
    <t>By your desired retirement age</t>
  </si>
  <si>
    <t>Why? Because you can live safe with interest only (Benchmarked at 6%) without the need of depleting your capital, you don't know the age of your death thus the safest bet is only to live off interest earned on your placement without using your capital</t>
  </si>
  <si>
    <t>Your current plan shows that you will accumulate a capital of</t>
  </si>
  <si>
    <t>And that you need +/- years to reach required capital</t>
  </si>
  <si>
    <t>(positive means more years required, negative means less years required)</t>
  </si>
  <si>
    <t>at age</t>
  </si>
  <si>
    <t>Your planned monthly savings is</t>
  </si>
  <si>
    <t>Your target monthly saving is</t>
  </si>
  <si>
    <t>Variations compared required and planned</t>
  </si>
  <si>
    <t>% Gap vs Benchmark (EN)</t>
  </si>
  <si>
    <t>Écart % vs Repère (FR)</t>
  </si>
  <si>
    <t>Situation (EN)</t>
  </si>
  <si>
    <t>Situation (FR)</t>
  </si>
  <si>
    <t>Narrative (EN)</t>
  </si>
  <si>
    <t>Narratif (FR)</t>
  </si>
  <si>
    <t>Suggested Actions (EN)</t>
  </si>
  <si>
    <t>Actions suggérées (FR)</t>
  </si>
  <si>
    <t>≥ +20% above benchmark</t>
  </si>
  <si>
    <t>≥ +20 % au-dessus du repère</t>
  </si>
  <si>
    <t>You are way ahead</t>
  </si>
  <si>
    <t>Vous êtes largement en avance</t>
  </si>
  <si>
    <t>🎉 Fantastic news! You’re ahead of schedule — your future self will thank you.</t>
  </si>
  <si>
    <t>🎉 Excellente nouvelle ! Vous avez de l’avance — votre « vous » du futur vous dira merci.</t>
  </si>
  <si>
    <t>You can reduce monthly savings a bit or retire earlier; reinvest the surplus.</t>
  </si>
  <si>
    <t>Vous pouvez réduire un peu l’épargne mensuelle ou avancer la retraite ; réinvestissez l’excédent.</t>
  </si>
  <si>
    <t>+5% to +20% above</t>
  </si>
  <si>
    <t>De +5 % à +20 % au-dessus</t>
  </si>
  <si>
    <t>Comfortably on target</t>
  </si>
  <si>
    <t>Confortablement dans l’objectif</t>
  </si>
  <si>
    <t>😊 Well done! You’ve built a nice cushion — enjoy the view without stress.</t>
  </si>
  <si>
    <t>😊 Bravo ! Beau coussin de sécurité — profitez sereinement.</t>
  </si>
  <si>
    <t>Keep your rhythm; add occasional bonus contributions when income allows.</t>
  </si>
  <si>
    <t>Gardez le rythme ; ajoutez des « bonus » quand les revenus le permettent.</t>
  </si>
  <si>
    <t>−5% to +5% (very close)</t>
  </si>
  <si>
    <t>De −5 % à +5 % (très proche)</t>
  </si>
  <si>
    <t>Right on track</t>
  </si>
  <si>
    <t>Sur la bonne trajectoire</t>
  </si>
  <si>
    <t>👍 You’re basically there — a tiny push locks it in.</t>
  </si>
  <si>
    <t>👍 Vous y êtes presque — un petit coup de pouce et c’est acquis.</t>
  </si>
  <si>
    <t>Slightly increase monthly savings or add a one-time boost.</t>
  </si>
  <si>
    <t>Augmentez légèrement l’épargne mensuelle ou faites un apport ponctuel.</t>
  </si>
  <si>
    <t>−5% to −20% (slightly behind)</t>
  </si>
  <si>
    <t>De −5 % à −20 % (léger retard)</t>
  </si>
  <si>
    <t>Close, needs a nudge</t>
  </si>
  <si>
    <t>Proche, besoin d’un petit élan</t>
  </si>
  <si>
    <t>👀 Very close — think “one more step up the stairs.”</t>
  </si>
  <si>
    <t>👀 Très proche — pensez « une marche de plus ».</t>
  </si>
  <si>
    <t>Lift savings by 5–10%; plan to grow your saving % as income rises.</t>
  </si>
  <si>
    <t>Montez l’épargne de 5–10 % ; prévoyez d’augmenter le % d’épargne avec les revenus.</t>
  </si>
  <si>
    <t>−20% to −40% (moderately behind)</t>
  </si>
  <si>
    <t>De −20 % à −40 % (retard modéré)</t>
  </si>
  <si>
    <t>Noticeable gap</t>
  </si>
  <si>
    <t>Écart notable</t>
  </si>
  <si>
    <t>⚡ There’s a gap, but it’s fixable — like catching the next bus.</t>
  </si>
  <si>
    <t>⚡ Écart rattrapable — comme prendre le prochain bus.</t>
  </si>
  <si>
    <t>Boost monthly savings now; consider an initial contribution.</t>
  </si>
  <si>
    <t>Augmentez l’épargne dès maintenant ; envisagez un apport initial.</t>
  </si>
  <si>
    <t>−40% to −60% (significant gap)</t>
  </si>
  <si>
    <t>De −40 % à −60 % (retard important)</t>
  </si>
  <si>
    <t>Well behind</t>
  </si>
  <si>
    <t>En retard</t>
  </si>
  <si>
    <t>💡 Looks big, but don’t panic — mid-marathon pace changes work.</t>
  </si>
  <si>
    <t>💡 Écart important, mais pas de panique — on ajuste le rythme en cours de route.</t>
  </si>
  <si>
    <t>Strongly increase savings; add initial capital; consider a slightly later retirement.</t>
  </si>
  <si>
    <t>Augmentez significativement l’épargne ; ajoutez un apport ; envisagez de décaler un peu la retraite.</t>
  </si>
  <si>
    <t>−60% to −80% (very behind)</t>
  </si>
  <si>
    <t>De −60 % à −80 % (retard marqué)</t>
  </si>
  <si>
    <t>Serious shortfall</t>
  </si>
  <si>
    <t>Fort retard</t>
  </si>
  <si>
    <t>🚨 We need a new game plan — your GPS is recalculating, and there’s still a route.</t>
  </si>
  <si>
    <t>🚨 Nouveau plan nécessaire — le GPS recalcule, il y a encore un itinéraire.</t>
  </si>
  <si>
    <t>Aggressively raise savings, add capital, and extend the horizon if needed.</t>
  </si>
  <si>
    <t>Augmentez fortement l’épargne, ajoutez du capital et allongez l’horizon si besoin.</t>
  </si>
  <si>
    <t>−80% or more (far behind)</t>
  </si>
  <si>
    <t>−80 % ou plus (écart critique)</t>
  </si>
  <si>
    <t>Critical shortfall</t>
  </si>
  <si>
    <t>Écart critique</t>
  </si>
  <si>
    <t>❤️ It may look shocking, but you’re not alone. Best time to plant a tree was 20 years ago; second best is today 🌱. Start now.</t>
  </si>
  <si>
    <t>❤️ C’est impressionnant, mais vous n’êtes pas seul. Le meilleur moment pour planter un arbre était il y a 20 ans ; le deuxième, c’est aujourd’hui 🌱. Commençons.</t>
  </si>
  <si>
    <t>Restart with a higher savings plan, add initial capital, commit to steady increases.</t>
  </si>
  <si>
    <t>Reprenez avec une épargne plus élevée, ajoutez un apport initial, engagez-vous sur des hausses régulières.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</si>
</sst>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_);[Red]\(&quot;$&quot;#,##0.00\)"/>
    <numFmt numFmtId="43" formatCode="_(* #,##0.00_);_(* \(#,##0.00\);_(* &quot;-&quot;??_);_(@_)"/>
    <numFmt numFmtId="164" formatCode="_(* #,##0_);_(* \(#,##0\);_(* &quot;-&quot;??_);_(@_)"/>
    <numFmt numFmtId="165" formatCode="_([$€-2]\ * #,##0.00_);_([$€-2]\ * \(#,##0.00\);_([$€-2]\ * &quot;-&quot;??_);_(@_)"/>
    <numFmt numFmtId="166" formatCode="_([$€-2]\ * #,##0_);_([$€-2]\ * \(#,##0\);_([$€-2]\ * &quot;-&quot;??_);_(@_)"/>
  </numFmts>
  <fonts count="5"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Arial Unicode MS"/>
    </font>
    <font>
      <sz val="10"/>
      <color theme="1"/>
      <name val="Arial Unicode MS"/>
    </font>
  </fonts>
  <fills count="9">
    <fill>
      <patternFill patternType="none"/>
    </fill>
    <fill>
      <patternFill patternType="gray125"/>
    </fill>
    <fill>
      <patternFill patternType="solid">
        <fgColor rgb="FFDCE6F1"/>
        <bgColor indexed="64"/>
      </patternFill>
    </fill>
    <fill>
      <patternFill patternType="solid">
        <fgColor rgb="FFFFFF00"/>
        <bgColor indexed="64"/>
      </patternFill>
    </fill>
    <fill>
      <patternFill patternType="solid">
        <fgColor theme="7" tint="0.39997558519241921"/>
        <bgColor indexed="64"/>
      </patternFill>
    </fill>
    <fill>
      <patternFill patternType="solid">
        <fgColor theme="4" tint="0.39997558519241921"/>
        <bgColor indexed="64"/>
      </patternFill>
    </fill>
    <fill>
      <patternFill patternType="solid">
        <fgColor theme="9" tint="0.79998168889431442"/>
        <bgColor indexed="64"/>
      </patternFill>
    </fill>
    <fill>
      <patternFill patternType="solid">
        <fgColor theme="0"/>
        <bgColor indexed="64"/>
      </patternFill>
    </fill>
    <fill>
      <patternFill patternType="solid">
        <fgColor rgb="FFFF00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43">
    <xf numFmtId="0" fontId="0" fillId="0" borderId="0" xfId="0"/>
    <xf numFmtId="0" fontId="2" fillId="0" borderId="0" xfId="0" applyFont="1"/>
    <xf numFmtId="43" fontId="0" fillId="0" borderId="0" xfId="1" applyFont="1"/>
    <xf numFmtId="1" fontId="0" fillId="0" borderId="0" xfId="0" applyNumberFormat="1"/>
    <xf numFmtId="3" fontId="0" fillId="0" borderId="0" xfId="0" applyNumberFormat="1"/>
    <xf numFmtId="1" fontId="0" fillId="2" borderId="0" xfId="0" applyNumberFormat="1" applyFill="1"/>
    <xf numFmtId="3" fontId="0" fillId="2" borderId="0" xfId="0" applyNumberFormat="1" applyFill="1"/>
    <xf numFmtId="10" fontId="0" fillId="2" borderId="0" xfId="0" applyNumberFormat="1" applyFill="1"/>
    <xf numFmtId="3" fontId="2" fillId="0" borderId="1" xfId="0" applyNumberFormat="1" applyFont="1" applyBorder="1"/>
    <xf numFmtId="3" fontId="0" fillId="0" borderId="1" xfId="0" applyNumberFormat="1" applyBorder="1"/>
    <xf numFmtId="9" fontId="0" fillId="0" borderId="0" xfId="0" applyNumberFormat="1"/>
    <xf numFmtId="43" fontId="2" fillId="0" borderId="0" xfId="1" applyFont="1"/>
    <xf numFmtId="43" fontId="0" fillId="0" borderId="0" xfId="0" applyNumberFormat="1"/>
    <xf numFmtId="8" fontId="0" fillId="3" borderId="0" xfId="1" applyNumberFormat="1" applyFont="1" applyFill="1"/>
    <xf numFmtId="43" fontId="0" fillId="0" borderId="0" xfId="1" applyFont="1" applyFill="1"/>
    <xf numFmtId="0" fontId="0" fillId="0" borderId="0" xfId="0" applyAlignment="1">
      <alignment horizontal="left" vertical="center" indent="1"/>
    </xf>
    <xf numFmtId="43" fontId="0" fillId="4" borderId="0" xfId="1" applyFont="1" applyFill="1"/>
    <xf numFmtId="43" fontId="0" fillId="5" borderId="0" xfId="1" applyFont="1" applyFill="1"/>
    <xf numFmtId="9" fontId="0" fillId="0" borderId="0" xfId="2" applyFont="1"/>
    <xf numFmtId="0" fontId="3" fillId="0" borderId="0" xfId="0" applyFont="1"/>
    <xf numFmtId="43" fontId="0" fillId="2" borderId="0" xfId="1" applyFont="1" applyFill="1"/>
    <xf numFmtId="1" fontId="2" fillId="0" borderId="0" xfId="0" applyNumberFormat="1" applyFont="1" applyAlignment="1">
      <alignment horizontal="left" vertical="center" indent="1"/>
    </xf>
    <xf numFmtId="0" fontId="4" fillId="0" borderId="0" xfId="0" applyFont="1"/>
    <xf numFmtId="1" fontId="2" fillId="6" borderId="1" xfId="0" applyNumberFormat="1" applyFont="1" applyFill="1" applyBorder="1"/>
    <xf numFmtId="3" fontId="2" fillId="6" borderId="1" xfId="0" applyNumberFormat="1" applyFont="1" applyFill="1" applyBorder="1"/>
    <xf numFmtId="1" fontId="0" fillId="6" borderId="1" xfId="0" applyNumberFormat="1" applyFill="1" applyBorder="1"/>
    <xf numFmtId="3" fontId="0" fillId="6" borderId="1" xfId="0" applyNumberFormat="1" applyFill="1" applyBorder="1"/>
    <xf numFmtId="3" fontId="0" fillId="7" borderId="1" xfId="0" applyNumberFormat="1" applyFill="1" applyBorder="1"/>
    <xf numFmtId="8" fontId="2" fillId="0" borderId="0" xfId="0" applyNumberFormat="1" applyFont="1"/>
    <xf numFmtId="4" fontId="0" fillId="0" borderId="0" xfId="0" applyNumberFormat="1"/>
    <xf numFmtId="165" fontId="0" fillId="0" borderId="0" xfId="0" applyNumberFormat="1"/>
    <xf numFmtId="166" fontId="0" fillId="0" borderId="0" xfId="0" applyNumberFormat="1"/>
    <xf numFmtId="164" fontId="0" fillId="0" borderId="0" xfId="1" applyNumberFormat="1" applyFont="1"/>
    <xf numFmtId="0" fontId="0" fillId="0" borderId="0" xfId="0" applyAlignment="1">
      <alignment wrapText="1"/>
    </xf>
    <xf numFmtId="3" fontId="2" fillId="0" borderId="2" xfId="0" applyNumberFormat="1" applyFont="1" applyBorder="1"/>
    <xf numFmtId="9" fontId="0" fillId="8" borderId="0" xfId="2" applyFont="1" applyFill="1"/>
    <xf numFmtId="9" fontId="2" fillId="0" borderId="0" xfId="2" applyFont="1"/>
    <xf numFmtId="0" fontId="2" fillId="0" borderId="0" xfId="0" applyFont="1" applyAlignment="1">
      <alignment horizontal="center" vertical="center" wrapText="1"/>
    </xf>
    <xf numFmtId="0" fontId="0" fillId="0" borderId="0" xfId="0" applyAlignment="1">
      <alignment vertical="center" wrapText="1"/>
    </xf>
    <xf numFmtId="0" fontId="2" fillId="0" borderId="0" xfId="0" applyFont="1" applyAlignment="1">
      <alignment vertical="center" wrapText="1"/>
    </xf>
    <xf numFmtId="9" fontId="0" fillId="0" borderId="4" xfId="0" applyNumberFormat="1" applyBorder="1"/>
    <xf numFmtId="0" fontId="3" fillId="6" borderId="3" xfId="0" applyFont="1" applyFill="1" applyBorder="1" applyAlignment="1">
      <alignment horizontal="center"/>
    </xf>
    <xf numFmtId="0" fontId="0" fillId="0" borderId="0" xfId="0" applyAlignment="1">
      <alignment horizontal="center"/>
    </xf>
  </cellXfs>
  <cellStyles count="3">
    <cellStyle name="Comma" xfId="1" builtinId="3"/>
    <cellStyle name="Normal" xfId="0" builtinId="0"/>
    <cellStyle name="Percent" xfId="2" builtinId="5"/>
  </cellStyles>
  <dxfs count="5">
    <dxf>
      <fill>
        <patternFill>
          <bgColor rgb="FFC6EFCE"/>
        </patternFill>
      </fill>
    </dxf>
    <dxf>
      <fill>
        <patternFill>
          <bgColor rgb="FFFFC7CE"/>
        </patternFill>
      </fill>
    </dxf>
    <dxf>
      <font>
        <color rgb="FF9C0006"/>
      </font>
      <fill>
        <patternFill>
          <bgColor rgb="FFFFC7CE"/>
        </patternFill>
      </fill>
    </dxf>
    <dxf>
      <fill>
        <patternFill>
          <bgColor theme="9" tint="0.59996337778862885"/>
        </patternFill>
      </fill>
    </dxf>
    <dxf>
      <fill>
        <patternFill>
          <bgColor rgb="FFC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Simulator!$C$24</c:f>
              <c:strCache>
                <c:ptCount val="1"/>
                <c:pt idx="0">
                  <c:v>Starting Capital (€)</c:v>
                </c:pt>
              </c:strCache>
            </c:strRef>
          </c:tx>
          <c:spPr>
            <a:ln w="28575" cap="rnd">
              <a:solidFill>
                <a:schemeClr val="accent1"/>
              </a:solidFill>
              <a:round/>
            </a:ln>
            <a:effectLst/>
          </c:spPr>
          <c:marker>
            <c:symbol val="none"/>
          </c:marker>
          <c:cat>
            <c:numRef>
              <c:f>Simulator!$B$25:$B$45</c:f>
              <c:numCache>
                <c:formatCode>0</c:formatCode>
                <c:ptCount val="21"/>
                <c:pt idx="0">
                  <c:v>45</c:v>
                </c:pt>
                <c:pt idx="1">
                  <c:v>46</c:v>
                </c:pt>
                <c:pt idx="2">
                  <c:v>47</c:v>
                </c:pt>
                <c:pt idx="3">
                  <c:v>48</c:v>
                </c:pt>
                <c:pt idx="4">
                  <c:v>49</c:v>
                </c:pt>
                <c:pt idx="5">
                  <c:v>50</c:v>
                </c:pt>
                <c:pt idx="6">
                  <c:v>51</c:v>
                </c:pt>
                <c:pt idx="7">
                  <c:v>52</c:v>
                </c:pt>
                <c:pt idx="8">
                  <c:v>53</c:v>
                </c:pt>
                <c:pt idx="9">
                  <c:v>54</c:v>
                </c:pt>
                <c:pt idx="10">
                  <c:v>55</c:v>
                </c:pt>
                <c:pt idx="11">
                  <c:v>56</c:v>
                </c:pt>
                <c:pt idx="12">
                  <c:v>57</c:v>
                </c:pt>
                <c:pt idx="13">
                  <c:v>58</c:v>
                </c:pt>
                <c:pt idx="14">
                  <c:v>59</c:v>
                </c:pt>
                <c:pt idx="15">
                  <c:v>60</c:v>
                </c:pt>
                <c:pt idx="16">
                  <c:v>61</c:v>
                </c:pt>
                <c:pt idx="17">
                  <c:v>62</c:v>
                </c:pt>
                <c:pt idx="18">
                  <c:v>63</c:v>
                </c:pt>
                <c:pt idx="19">
                  <c:v>64</c:v>
                </c:pt>
                <c:pt idx="20">
                  <c:v>65</c:v>
                </c:pt>
              </c:numCache>
            </c:numRef>
          </c:cat>
          <c:val>
            <c:numRef>
              <c:f>Simulator!$C$25:$C$45</c:f>
              <c:numCache>
                <c:formatCode>#,##0</c:formatCode>
                <c:ptCount val="21"/>
                <c:pt idx="0">
                  <c:v>0</c:v>
                </c:pt>
                <c:pt idx="1">
                  <c:v>12000</c:v>
                </c:pt>
                <c:pt idx="2">
                  <c:v>25560</c:v>
                </c:pt>
                <c:pt idx="3">
                  <c:v>40856.400000000001</c:v>
                </c:pt>
                <c:pt idx="4">
                  <c:v>58085.1</c:v>
                </c:pt>
                <c:pt idx="5">
                  <c:v>77463.646919999999</c:v>
                </c:pt>
                <c:pt idx="6">
                  <c:v>99233.617719599992</c:v>
                </c:pt>
                <c:pt idx="7">
                  <c:v>123663.264699924</c:v>
                </c:pt>
                <c:pt idx="8">
                  <c:v>151050.45182870698</c:v>
                </c:pt>
                <c:pt idx="9">
                  <c:v>181725.91410189192</c:v>
                </c:pt>
                <c:pt idx="10">
                  <c:v>216056.87547656774</c:v>
                </c:pt>
                <c:pt idx="11">
                  <c:v>254451.06481892726</c:v>
                </c:pt>
                <c:pt idx="12">
                  <c:v>297361.17364974506</c:v>
                </c:pt>
                <c:pt idx="13">
                  <c:v>345289.80428596755</c:v>
                </c:pt>
                <c:pt idx="14">
                  <c:v>398794.96232286951</c:v>
                </c:pt>
                <c:pt idx="15">
                  <c:v>458496.15333513962</c:v>
                </c:pt>
                <c:pt idx="16">
                  <c:v>525081.15026189457</c:v>
                </c:pt>
                <c:pt idx="17">
                  <c:v>599313.5052517904</c:v>
                </c:pt>
                <c:pt idx="18">
                  <c:v>682040.88785979641</c:v>
                </c:pt>
                <c:pt idx="19">
                  <c:v>774204.3404952893</c:v>
                </c:pt>
                <c:pt idx="20">
                  <c:v>876848.5520201046</c:v>
                </c:pt>
              </c:numCache>
            </c:numRef>
          </c:val>
          <c:smooth val="0"/>
          <c:extLst>
            <c:ext xmlns:c16="http://schemas.microsoft.com/office/drawing/2014/chart" uri="{C3380CC4-5D6E-409C-BE32-E72D297353CC}">
              <c16:uniqueId val="{00000000-3089-4444-A147-5F969A5A45EC}"/>
            </c:ext>
          </c:extLst>
        </c:ser>
        <c:ser>
          <c:idx val="1"/>
          <c:order val="1"/>
          <c:tx>
            <c:strRef>
              <c:f>Simulator!$G$24</c:f>
              <c:strCache>
                <c:ptCount val="1"/>
                <c:pt idx="0">
                  <c:v>Starting Capital (€)</c:v>
                </c:pt>
              </c:strCache>
            </c:strRef>
          </c:tx>
          <c:spPr>
            <a:ln w="28575" cap="rnd">
              <a:solidFill>
                <a:schemeClr val="accent3">
                  <a:lumMod val="75000"/>
                </a:schemeClr>
              </a:solidFill>
              <a:prstDash val="sysDot"/>
              <a:round/>
            </a:ln>
            <a:effectLst/>
          </c:spPr>
          <c:marker>
            <c:symbol val="none"/>
          </c:marker>
          <c:cat>
            <c:numRef>
              <c:f>Simulator!$B$25:$B$45</c:f>
              <c:numCache>
                <c:formatCode>0</c:formatCode>
                <c:ptCount val="21"/>
                <c:pt idx="0">
                  <c:v>45</c:v>
                </c:pt>
                <c:pt idx="1">
                  <c:v>46</c:v>
                </c:pt>
                <c:pt idx="2">
                  <c:v>47</c:v>
                </c:pt>
                <c:pt idx="3">
                  <c:v>48</c:v>
                </c:pt>
                <c:pt idx="4">
                  <c:v>49</c:v>
                </c:pt>
                <c:pt idx="5">
                  <c:v>50</c:v>
                </c:pt>
                <c:pt idx="6">
                  <c:v>51</c:v>
                </c:pt>
                <c:pt idx="7">
                  <c:v>52</c:v>
                </c:pt>
                <c:pt idx="8">
                  <c:v>53</c:v>
                </c:pt>
                <c:pt idx="9">
                  <c:v>54</c:v>
                </c:pt>
                <c:pt idx="10">
                  <c:v>55</c:v>
                </c:pt>
                <c:pt idx="11">
                  <c:v>56</c:v>
                </c:pt>
                <c:pt idx="12">
                  <c:v>57</c:v>
                </c:pt>
                <c:pt idx="13">
                  <c:v>58</c:v>
                </c:pt>
                <c:pt idx="14">
                  <c:v>59</c:v>
                </c:pt>
                <c:pt idx="15">
                  <c:v>60</c:v>
                </c:pt>
                <c:pt idx="16">
                  <c:v>61</c:v>
                </c:pt>
                <c:pt idx="17">
                  <c:v>62</c:v>
                </c:pt>
                <c:pt idx="18">
                  <c:v>63</c:v>
                </c:pt>
                <c:pt idx="19">
                  <c:v>64</c:v>
                </c:pt>
                <c:pt idx="20">
                  <c:v>65</c:v>
                </c:pt>
              </c:numCache>
            </c:numRef>
          </c:cat>
          <c:val>
            <c:numRef>
              <c:f>Simulator!$G$25:$G$45</c:f>
              <c:numCache>
                <c:formatCode>#,##0</c:formatCode>
                <c:ptCount val="21"/>
                <c:pt idx="0">
                  <c:v>0</c:v>
                </c:pt>
                <c:pt idx="1">
                  <c:v>12201.447132912437</c:v>
                </c:pt>
                <c:pt idx="2">
                  <c:v>25989.08239310349</c:v>
                </c:pt>
                <c:pt idx="3">
                  <c:v>41542.267053426978</c:v>
                </c:pt>
                <c:pt idx="4">
                  <c:v>59060.189738327688</c:v>
                </c:pt>
                <c:pt idx="5">
                  <c:v>78764.049384747952</c:v>
                </c:pt>
                <c:pt idx="6">
                  <c:v>100899.47836777853</c:v>
                </c:pt>
                <c:pt idx="7">
                  <c:v>125739.23220995664</c:v>
                </c:pt>
                <c:pt idx="8">
                  <c:v>153586.17519920878</c:v>
                </c:pt>
                <c:pt idx="9">
                  <c:v>184776.59446620182</c:v>
                </c:pt>
                <c:pt idx="10">
                  <c:v>219683.87865246565</c:v>
                </c:pt>
                <c:pt idx="11">
                  <c:v>258722.60127511816</c:v>
                </c:pt>
                <c:pt idx="12">
                  <c:v>302353.05330568005</c:v>
                </c:pt>
                <c:pt idx="13">
                  <c:v>351086.27437740978</c:v>
                </c:pt>
                <c:pt idx="14">
                  <c:v>405489.63747119182</c:v>
                </c:pt>
                <c:pt idx="15">
                  <c:v>466193.0479635353</c:v>
                </c:pt>
                <c:pt idx="16">
                  <c:v>533895.82461744675</c:v>
                </c:pt>
                <c:pt idx="17">
                  <c:v>609374.33753084694</c:v>
                </c:pt>
                <c:pt idx="18">
                  <c:v>693490.48630883079</c:v>
                </c:pt>
                <c:pt idx="19">
                  <c:v>787201.11088538461</c:v>
                </c:pt>
                <c:pt idx="20">
                  <c:v>891568.43758701102</c:v>
                </c:pt>
              </c:numCache>
            </c:numRef>
          </c:val>
          <c:smooth val="0"/>
          <c:extLst>
            <c:ext xmlns:c16="http://schemas.microsoft.com/office/drawing/2014/chart" uri="{C3380CC4-5D6E-409C-BE32-E72D297353CC}">
              <c16:uniqueId val="{00000001-3089-4444-A147-5F969A5A45EC}"/>
            </c:ext>
          </c:extLst>
        </c:ser>
        <c:ser>
          <c:idx val="2"/>
          <c:order val="2"/>
          <c:tx>
            <c:strRef>
              <c:f>Simulator!$K$24</c:f>
              <c:strCache>
                <c:ptCount val="1"/>
                <c:pt idx="0">
                  <c:v>Required capital benchmark</c:v>
                </c:pt>
              </c:strCache>
            </c:strRef>
          </c:tx>
          <c:spPr>
            <a:ln w="28575" cap="rnd">
              <a:solidFill>
                <a:srgbClr val="FF0000"/>
              </a:solidFill>
              <a:prstDash val="sysDash"/>
              <a:round/>
            </a:ln>
            <a:effectLst/>
          </c:spPr>
          <c:marker>
            <c:symbol val="none"/>
          </c:marker>
          <c:cat>
            <c:numRef>
              <c:f>Simulator!$B$25:$B$45</c:f>
              <c:numCache>
                <c:formatCode>0</c:formatCode>
                <c:ptCount val="21"/>
                <c:pt idx="0">
                  <c:v>45</c:v>
                </c:pt>
                <c:pt idx="1">
                  <c:v>46</c:v>
                </c:pt>
                <c:pt idx="2">
                  <c:v>47</c:v>
                </c:pt>
                <c:pt idx="3">
                  <c:v>48</c:v>
                </c:pt>
                <c:pt idx="4">
                  <c:v>49</c:v>
                </c:pt>
                <c:pt idx="5">
                  <c:v>50</c:v>
                </c:pt>
                <c:pt idx="6">
                  <c:v>51</c:v>
                </c:pt>
                <c:pt idx="7">
                  <c:v>52</c:v>
                </c:pt>
                <c:pt idx="8">
                  <c:v>53</c:v>
                </c:pt>
                <c:pt idx="9">
                  <c:v>54</c:v>
                </c:pt>
                <c:pt idx="10">
                  <c:v>55</c:v>
                </c:pt>
                <c:pt idx="11">
                  <c:v>56</c:v>
                </c:pt>
                <c:pt idx="12">
                  <c:v>57</c:v>
                </c:pt>
                <c:pt idx="13">
                  <c:v>58</c:v>
                </c:pt>
                <c:pt idx="14">
                  <c:v>59</c:v>
                </c:pt>
                <c:pt idx="15">
                  <c:v>60</c:v>
                </c:pt>
                <c:pt idx="16">
                  <c:v>61</c:v>
                </c:pt>
                <c:pt idx="17">
                  <c:v>62</c:v>
                </c:pt>
                <c:pt idx="18">
                  <c:v>63</c:v>
                </c:pt>
                <c:pt idx="19">
                  <c:v>64</c:v>
                </c:pt>
                <c:pt idx="20">
                  <c:v>65</c:v>
                </c:pt>
              </c:numCache>
            </c:numRef>
          </c:cat>
          <c:val>
            <c:numRef>
              <c:f>Simulator!$K$25:$K$45</c:f>
              <c:numCache>
                <c:formatCode>_(* #,##0.00_);_(* \(#,##0.00\);_(* "-"??_);_(@_)</c:formatCode>
                <c:ptCount val="21"/>
                <c:pt idx="0">
                  <c:v>891568.43758701254</c:v>
                </c:pt>
                <c:pt idx="1">
                  <c:v>891568.43758701254</c:v>
                </c:pt>
                <c:pt idx="2">
                  <c:v>891568.43758701254</c:v>
                </c:pt>
                <c:pt idx="3">
                  <c:v>891568.43758701254</c:v>
                </c:pt>
                <c:pt idx="4">
                  <c:v>891568.43758701254</c:v>
                </c:pt>
                <c:pt idx="5">
                  <c:v>891568.43758701254</c:v>
                </c:pt>
                <c:pt idx="6">
                  <c:v>891568.43758701254</c:v>
                </c:pt>
                <c:pt idx="7">
                  <c:v>891568.43758701254</c:v>
                </c:pt>
                <c:pt idx="8">
                  <c:v>891568.43758701254</c:v>
                </c:pt>
                <c:pt idx="9">
                  <c:v>891568.43758701254</c:v>
                </c:pt>
                <c:pt idx="10">
                  <c:v>891568.43758701254</c:v>
                </c:pt>
                <c:pt idx="11">
                  <c:v>891568.43758701254</c:v>
                </c:pt>
                <c:pt idx="12">
                  <c:v>891568.43758701254</c:v>
                </c:pt>
                <c:pt idx="13">
                  <c:v>891568.43758701254</c:v>
                </c:pt>
                <c:pt idx="14">
                  <c:v>891568.43758701254</c:v>
                </c:pt>
                <c:pt idx="15">
                  <c:v>891568.43758701254</c:v>
                </c:pt>
                <c:pt idx="16">
                  <c:v>891568.43758701254</c:v>
                </c:pt>
                <c:pt idx="17">
                  <c:v>891568.43758701254</c:v>
                </c:pt>
                <c:pt idx="18">
                  <c:v>891568.43758701254</c:v>
                </c:pt>
                <c:pt idx="19">
                  <c:v>891568.43758701254</c:v>
                </c:pt>
                <c:pt idx="20">
                  <c:v>891568.43758701254</c:v>
                </c:pt>
              </c:numCache>
            </c:numRef>
          </c:val>
          <c:smooth val="0"/>
          <c:extLst>
            <c:ext xmlns:c16="http://schemas.microsoft.com/office/drawing/2014/chart" uri="{C3380CC4-5D6E-409C-BE32-E72D297353CC}">
              <c16:uniqueId val="{00000002-3089-4444-A147-5F969A5A45EC}"/>
            </c:ext>
          </c:extLst>
        </c:ser>
        <c:dLbls>
          <c:showLegendKey val="0"/>
          <c:showVal val="0"/>
          <c:showCatName val="0"/>
          <c:showSerName val="0"/>
          <c:showPercent val="0"/>
          <c:showBubbleSize val="0"/>
        </c:dLbls>
        <c:smooth val="0"/>
        <c:axId val="1813882256"/>
        <c:axId val="1813877456"/>
      </c:lineChart>
      <c:catAx>
        <c:axId val="1813882256"/>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3877456"/>
        <c:crosses val="autoZero"/>
        <c:auto val="1"/>
        <c:lblAlgn val="ctr"/>
        <c:lblOffset val="100"/>
        <c:noMultiLvlLbl val="0"/>
      </c:catAx>
      <c:valAx>
        <c:axId val="181387745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38822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588309</xdr:colOff>
      <xdr:row>31</xdr:row>
      <xdr:rowOff>101974</xdr:rowOff>
    </xdr:from>
    <xdr:to>
      <xdr:col>13</xdr:col>
      <xdr:colOff>375397</xdr:colOff>
      <xdr:row>45</xdr:row>
      <xdr:rowOff>178174</xdr:rowOff>
    </xdr:to>
    <xdr:graphicFrame macro="">
      <xdr:nvGraphicFramePr>
        <xdr:cNvPr id="2" name="Chart 1">
          <a:extLst>
            <a:ext uri="{FF2B5EF4-FFF2-40B4-BE49-F238E27FC236}">
              <a16:creationId xmlns:a16="http://schemas.microsoft.com/office/drawing/2014/main" id="{70E1BFC1-DD2A-F6EC-BEE5-AE02506388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F355B-CCE0-4949-BC6B-60DA059408B3}">
  <dimension ref="A1:K80"/>
  <sheetViews>
    <sheetView tabSelected="1" zoomScale="25" zoomScaleNormal="25" workbookViewId="0">
      <selection activeCell="O84" sqref="A1:O84"/>
    </sheetView>
  </sheetViews>
  <sheetFormatPr defaultRowHeight="15" x14ac:dyDescent="0.25"/>
  <cols>
    <col min="1" max="1" width="42.85546875" customWidth="1"/>
    <col min="2" max="3" width="15.7109375" customWidth="1"/>
    <col min="4" max="4" width="36.28515625" customWidth="1"/>
    <col min="5" max="10" width="15.7109375" customWidth="1"/>
    <col min="11" max="13" width="18.7109375" customWidth="1"/>
  </cols>
  <sheetData>
    <row r="1" spans="1:10" x14ac:dyDescent="0.25">
      <c r="A1" s="1" t="s">
        <v>0</v>
      </c>
    </row>
    <row r="2" spans="1:10" x14ac:dyDescent="0.25">
      <c r="C2" s="19"/>
      <c r="G2" s="1" t="s">
        <v>1</v>
      </c>
    </row>
    <row r="3" spans="1:10" x14ac:dyDescent="0.25">
      <c r="A3" s="1" t="s">
        <v>2</v>
      </c>
      <c r="B3" s="1" t="s">
        <v>3</v>
      </c>
      <c r="D3" s="1" t="s">
        <v>4</v>
      </c>
      <c r="E3" s="11"/>
      <c r="G3" s="1" t="s">
        <v>5</v>
      </c>
      <c r="H3" s="1" t="s">
        <v>6</v>
      </c>
      <c r="I3" s="1" t="s">
        <v>7</v>
      </c>
      <c r="J3" s="1" t="s">
        <v>8</v>
      </c>
    </row>
    <row r="4" spans="1:10" x14ac:dyDescent="0.25">
      <c r="A4" s="1" t="s">
        <v>9</v>
      </c>
      <c r="B4" s="5">
        <v>45</v>
      </c>
      <c r="C4" s="19"/>
      <c r="D4" s="1" t="s">
        <v>10</v>
      </c>
      <c r="E4" s="2">
        <f>B8*(1+B7)^(B5-B4)</f>
        <v>4457.8421879350626</v>
      </c>
      <c r="F4" s="22"/>
      <c r="H4" s="12">
        <f>E9</f>
        <v>876848.5520201046</v>
      </c>
      <c r="J4" s="15"/>
    </row>
    <row r="5" spans="1:10" x14ac:dyDescent="0.25">
      <c r="A5" s="1" t="s">
        <v>11</v>
      </c>
      <c r="B5" s="5">
        <v>65</v>
      </c>
      <c r="D5" s="1" t="s">
        <v>12</v>
      </c>
      <c r="E5" s="16">
        <f>E4*12/B13</f>
        <v>891568.43758701254</v>
      </c>
      <c r="G5" s="10">
        <v>0.06</v>
      </c>
      <c r="H5" s="4">
        <f t="dataTable" ref="H5:H12" dt2D="0" dtr="0" r1="B12"/>
        <v>516356.42287034728</v>
      </c>
      <c r="I5" t="str">
        <f>IF(H5&gt;=E5,"Yes","No")</f>
        <v>No</v>
      </c>
      <c r="J5" s="21">
        <f t="shared" ref="J5:J12" si="0">$B$5-INDEX($B$24:$B$80, MATCH(H5, $G$24:$G$80, 1))</f>
        <v>5</v>
      </c>
    </row>
    <row r="6" spans="1:10" x14ac:dyDescent="0.25">
      <c r="A6" s="1" t="s">
        <v>13</v>
      </c>
      <c r="B6" s="6">
        <v>2500</v>
      </c>
      <c r="C6" s="19"/>
      <c r="D6" s="1" t="s">
        <v>14</v>
      </c>
      <c r="E6" s="14">
        <f>SUMIFS(H24:H104, B24:B104, "&lt;=" &amp; $B$5)</f>
        <v>314593.78166463668</v>
      </c>
      <c r="F6" s="22"/>
      <c r="G6" s="10">
        <v>7.0000000000000007E-2</v>
      </c>
      <c r="H6" s="4">
        <v>572096.89596187789</v>
      </c>
      <c r="I6" t="str">
        <f>IF(H6&gt;=E5,"Yes","No")</f>
        <v>No</v>
      </c>
      <c r="J6" s="21">
        <f t="shared" si="0"/>
        <v>4</v>
      </c>
    </row>
    <row r="7" spans="1:10" x14ac:dyDescent="0.25">
      <c r="A7" s="1" t="s">
        <v>15</v>
      </c>
      <c r="B7" s="7">
        <v>0.02</v>
      </c>
      <c r="D7" s="1" t="s">
        <v>16</v>
      </c>
      <c r="E7" s="12">
        <f>E5-E6</f>
        <v>576974.65592237585</v>
      </c>
      <c r="G7" s="10">
        <v>0.08</v>
      </c>
      <c r="H7" s="4">
        <v>635001.94957418949</v>
      </c>
      <c r="I7" t="str">
        <f>IF(H7&gt;=E5,"Yes","No")</f>
        <v>No</v>
      </c>
      <c r="J7" s="21">
        <f t="shared" si="0"/>
        <v>3</v>
      </c>
    </row>
    <row r="8" spans="1:10" x14ac:dyDescent="0.25">
      <c r="A8" s="1" t="s">
        <v>17</v>
      </c>
      <c r="B8" s="6">
        <v>3000</v>
      </c>
      <c r="C8" s="19"/>
      <c r="F8" s="22"/>
      <c r="G8" s="10">
        <v>0.09</v>
      </c>
      <c r="H8" s="4">
        <v>706022.29230856069</v>
      </c>
      <c r="I8" t="str">
        <f>IF(H8&gt;=E5,"Yes","No")</f>
        <v>No</v>
      </c>
      <c r="J8" s="21">
        <f t="shared" si="0"/>
        <v>2</v>
      </c>
    </row>
    <row r="9" spans="1:10" x14ac:dyDescent="0.25">
      <c r="A9" s="1" t="s">
        <v>18</v>
      </c>
      <c r="B9" s="6">
        <v>1000</v>
      </c>
      <c r="D9" s="1" t="s">
        <v>19</v>
      </c>
      <c r="E9" s="17">
        <f>VLOOKUP((B5-B4),A24:F80,3,FALSE)</f>
        <v>876848.5520201046</v>
      </c>
      <c r="G9" s="10">
        <v>0.1</v>
      </c>
      <c r="H9" s="29">
        <v>786232.88300208666</v>
      </c>
      <c r="I9" t="str">
        <f>IF(ROUNDUP(H9,-3) &gt;= ROUNDUP(E5,-3), "Yes", "No")</f>
        <v>No</v>
      </c>
      <c r="J9" s="21">
        <f t="shared" si="0"/>
        <v>2</v>
      </c>
    </row>
    <row r="10" spans="1:10" x14ac:dyDescent="0.25">
      <c r="A10" s="1" t="s">
        <v>20</v>
      </c>
      <c r="B10" s="18">
        <f>B9/B6</f>
        <v>0.4</v>
      </c>
      <c r="C10" s="19"/>
      <c r="D10" s="1" t="s">
        <v>14</v>
      </c>
      <c r="E10" s="14">
        <f>SUMIFS(D24:D104, B24:B104, "&lt;=" &amp; $B$5)</f>
        <v>309399.80633875291</v>
      </c>
      <c r="F10" s="22"/>
      <c r="G10" s="10">
        <v>0.11</v>
      </c>
      <c r="H10" s="4">
        <v>876848.5520201046</v>
      </c>
      <c r="I10" t="str">
        <f>IF(H10&gt;=E5,"Yes","No")</f>
        <v>No</v>
      </c>
      <c r="J10" s="21">
        <f t="shared" si="0"/>
        <v>1</v>
      </c>
    </row>
    <row r="11" spans="1:10" x14ac:dyDescent="0.25">
      <c r="A11" s="1" t="s">
        <v>21</v>
      </c>
      <c r="B11" s="7">
        <v>0.02</v>
      </c>
      <c r="D11" s="1" t="s">
        <v>16</v>
      </c>
      <c r="E11" s="14">
        <f>E9-E10</f>
        <v>567448.74568135175</v>
      </c>
      <c r="G11" s="10">
        <v>0.12</v>
      </c>
      <c r="H11" s="4">
        <v>979241.48367558955</v>
      </c>
      <c r="I11" t="str">
        <f>IF(H11&gt;=E5,"Yes","No")</f>
        <v>Yes</v>
      </c>
      <c r="J11" s="21">
        <f t="shared" si="0"/>
        <v>0</v>
      </c>
    </row>
    <row r="12" spans="1:10" x14ac:dyDescent="0.25">
      <c r="A12" s="1" t="s">
        <v>22</v>
      </c>
      <c r="B12" s="35">
        <v>0.11</v>
      </c>
      <c r="C12" s="19"/>
      <c r="F12" s="22" t="s">
        <v>23</v>
      </c>
      <c r="G12" s="10">
        <v>0.13</v>
      </c>
      <c r="H12" s="4">
        <v>1094960.7674994566</v>
      </c>
      <c r="I12" t="str">
        <f>IF(H12&gt;=E5,"Yes","No")</f>
        <v>Yes</v>
      </c>
      <c r="J12" s="21">
        <f t="shared" si="0"/>
        <v>-1</v>
      </c>
    </row>
    <row r="13" spans="1:10" x14ac:dyDescent="0.25">
      <c r="A13" s="1" t="s">
        <v>24</v>
      </c>
      <c r="B13" s="7">
        <v>0.06</v>
      </c>
      <c r="D13" s="1" t="s">
        <v>25</v>
      </c>
      <c r="E13" s="2">
        <f>VLOOKUP(B5,B24:F80,2,FALSE)-E5</f>
        <v>-14719.885566907935</v>
      </c>
      <c r="F13" s="36">
        <f>GapAtTarget/E5</f>
        <v>-1.6510101688600152E-2</v>
      </c>
    </row>
    <row r="14" spans="1:10" x14ac:dyDescent="0.25">
      <c r="A14" s="1" t="s">
        <v>26</v>
      </c>
      <c r="B14" s="20">
        <v>0</v>
      </c>
      <c r="C14" s="19"/>
      <c r="D14" s="1" t="s">
        <v>27</v>
      </c>
      <c r="E14" s="3">
        <f>INDEX(B24:B80, MATCH(E5, C24:C80, 1))+1</f>
        <v>66</v>
      </c>
    </row>
    <row r="15" spans="1:10" x14ac:dyDescent="0.25">
      <c r="D15" s="1" t="s">
        <v>28</v>
      </c>
      <c r="E15" s="3">
        <f>B5</f>
        <v>65</v>
      </c>
      <c r="J15" s="19"/>
    </row>
    <row r="16" spans="1:10" x14ac:dyDescent="0.25">
      <c r="C16" s="19"/>
      <c r="D16" s="1" t="s">
        <v>29</v>
      </c>
      <c r="E16" s="2">
        <f>E14-E15</f>
        <v>1</v>
      </c>
      <c r="F16" t="s">
        <v>30</v>
      </c>
    </row>
    <row r="17" spans="1:11" x14ac:dyDescent="0.25">
      <c r="A17" s="1" t="s">
        <v>31</v>
      </c>
    </row>
    <row r="18" spans="1:11" x14ac:dyDescent="0.25">
      <c r="A18" t="s">
        <v>32</v>
      </c>
      <c r="C18" s="19"/>
      <c r="D18" s="1" t="s">
        <v>33</v>
      </c>
      <c r="E18" s="28">
        <f>MAX(0,MAX(0,(E5-(C25*(1+$B$12)^($B$5-$B$4)))/(((1+$B$12)^($B$5-$B$4)-(1+$B$11)^($B$5-$B$4))/($B$12-$B$11))/12))</f>
        <v>1016.7872610760364</v>
      </c>
      <c r="J18" s="19"/>
    </row>
    <row r="19" spans="1:11" x14ac:dyDescent="0.25">
      <c r="A19" s="1" t="s">
        <v>31</v>
      </c>
      <c r="D19" s="1" t="s">
        <v>34</v>
      </c>
      <c r="E19" s="13">
        <f>MAX(0,MAX(0,(E5-(C25*(1+$B$12)^($B$5-$B$4)))/(((1+$B$12)^($B$5-$B$4)-(1+$B$11)^($B$5-$B$4))/($B$12-$B$11))/12)-B9)</f>
        <v>16.78726107603643</v>
      </c>
    </row>
    <row r="20" spans="1:11" x14ac:dyDescent="0.25">
      <c r="A20" s="1"/>
      <c r="D20" s="1" t="s">
        <v>35</v>
      </c>
      <c r="E20" s="2">
        <f>MAX(0,(E5-((C25*(1+$B$12)^($B$5-$B$4))+($D$25*((1+$B$12)^($B$5-$B$4)-(1+$B$11)^($B$5-$B$4))/($B$12-$B$11))))/(1+$B$12)^($B$5-$B$4))</f>
        <v>1825.7649187758043</v>
      </c>
    </row>
    <row r="21" spans="1:11" x14ac:dyDescent="0.25">
      <c r="A21" s="1"/>
      <c r="D21" s="1"/>
      <c r="E21" s="2"/>
    </row>
    <row r="22" spans="1:11" x14ac:dyDescent="0.25">
      <c r="A22" s="1"/>
      <c r="D22" s="1"/>
      <c r="E22" s="2"/>
    </row>
    <row r="23" spans="1:11" x14ac:dyDescent="0.25">
      <c r="C23" s="41" t="s">
        <v>36</v>
      </c>
      <c r="D23" s="41"/>
      <c r="E23" s="41"/>
      <c r="F23" s="41"/>
      <c r="G23" s="42" t="s">
        <v>37</v>
      </c>
      <c r="H23" s="42"/>
      <c r="I23" s="42"/>
      <c r="J23" s="42"/>
      <c r="K23" s="42"/>
    </row>
    <row r="24" spans="1:11" x14ac:dyDescent="0.25">
      <c r="A24" s="23" t="s">
        <v>38</v>
      </c>
      <c r="B24" s="23" t="s">
        <v>39</v>
      </c>
      <c r="C24" s="24" t="s">
        <v>40</v>
      </c>
      <c r="D24" s="24" t="s">
        <v>41</v>
      </c>
      <c r="E24" s="24" t="s">
        <v>42</v>
      </c>
      <c r="F24" s="24" t="s">
        <v>43</v>
      </c>
      <c r="G24" s="8" t="s">
        <v>40</v>
      </c>
      <c r="H24" s="8" t="s">
        <v>41</v>
      </c>
      <c r="I24" s="8" t="s">
        <v>42</v>
      </c>
      <c r="J24" s="8" t="s">
        <v>44</v>
      </c>
      <c r="K24" s="34" t="s">
        <v>45</v>
      </c>
    </row>
    <row r="25" spans="1:11" x14ac:dyDescent="0.25">
      <c r="A25" s="25">
        <v>0</v>
      </c>
      <c r="B25" s="25">
        <f>$B$4 + A25</f>
        <v>45</v>
      </c>
      <c r="C25" s="26">
        <f>B14</f>
        <v>0</v>
      </c>
      <c r="D25" s="26">
        <f>B9*12</f>
        <v>12000</v>
      </c>
      <c r="E25" s="26">
        <f>C25*B12</f>
        <v>0</v>
      </c>
      <c r="F25" s="26">
        <f t="shared" ref="F25:F50" si="1">C25+D25+E25</f>
        <v>12000</v>
      </c>
      <c r="G25" s="4">
        <f>C25</f>
        <v>0</v>
      </c>
      <c r="H25" s="9">
        <f>E18*12</f>
        <v>12201.447132912437</v>
      </c>
      <c r="I25" s="9">
        <f>G25*$B$12</f>
        <v>0</v>
      </c>
      <c r="J25" s="27">
        <f t="shared" ref="J25:J80" si="2">G25+H25+I25</f>
        <v>12201.447132912437</v>
      </c>
      <c r="K25" s="12">
        <f>$E$5</f>
        <v>891568.43758701254</v>
      </c>
    </row>
    <row r="26" spans="1:11" x14ac:dyDescent="0.25">
      <c r="A26" s="25">
        <f t="shared" ref="A26:A50" si="3">A25+1</f>
        <v>1</v>
      </c>
      <c r="B26" s="25">
        <f t="shared" ref="B26:B80" si="4">$B$4 + A26</f>
        <v>46</v>
      </c>
      <c r="C26" s="26">
        <f t="shared" ref="C26:C50" si="5">F25</f>
        <v>12000</v>
      </c>
      <c r="D26" s="26">
        <f>D25*(1+B11)</f>
        <v>12240</v>
      </c>
      <c r="E26" s="26">
        <f>C26*B12</f>
        <v>1320</v>
      </c>
      <c r="F26" s="26">
        <f t="shared" si="1"/>
        <v>25560</v>
      </c>
      <c r="G26" s="9">
        <f t="shared" ref="G26:G80" si="6">J25</f>
        <v>12201.447132912437</v>
      </c>
      <c r="H26" s="9">
        <f>H25*(1+$B$11)</f>
        <v>12445.476075570687</v>
      </c>
      <c r="I26" s="9">
        <f>G26*$B$12</f>
        <v>1342.159184620368</v>
      </c>
      <c r="J26" s="27">
        <f t="shared" si="2"/>
        <v>25989.08239310349</v>
      </c>
      <c r="K26" s="12">
        <f t="shared" ref="K26:K80" si="7">$E$5</f>
        <v>891568.43758701254</v>
      </c>
    </row>
    <row r="27" spans="1:11" x14ac:dyDescent="0.25">
      <c r="A27" s="25">
        <f t="shared" si="3"/>
        <v>2</v>
      </c>
      <c r="B27" s="25">
        <f t="shared" si="4"/>
        <v>47</v>
      </c>
      <c r="C27" s="26">
        <f t="shared" si="5"/>
        <v>25560</v>
      </c>
      <c r="D27" s="26">
        <f>D26*(1+B11)</f>
        <v>12484.800000000001</v>
      </c>
      <c r="E27" s="26">
        <f>C27*B12</f>
        <v>2811.6</v>
      </c>
      <c r="F27" s="26">
        <f t="shared" si="1"/>
        <v>40856.400000000001</v>
      </c>
      <c r="G27" s="9">
        <f t="shared" si="6"/>
        <v>25989.08239310349</v>
      </c>
      <c r="H27" s="9">
        <f t="shared" ref="H27:H80" si="8">H26*(1+$B$11)</f>
        <v>12694.385597082101</v>
      </c>
      <c r="I27" s="9">
        <f t="shared" ref="I27:I80" si="9">G27*$B$12</f>
        <v>2858.7990632413839</v>
      </c>
      <c r="J27" s="27">
        <f t="shared" si="2"/>
        <v>41542.267053426978</v>
      </c>
      <c r="K27" s="12">
        <f t="shared" si="7"/>
        <v>891568.43758701254</v>
      </c>
    </row>
    <row r="28" spans="1:11" x14ac:dyDescent="0.25">
      <c r="A28" s="25">
        <f t="shared" si="3"/>
        <v>3</v>
      </c>
      <c r="B28" s="25">
        <f t="shared" si="4"/>
        <v>48</v>
      </c>
      <c r="C28" s="26">
        <f t="shared" si="5"/>
        <v>40856.400000000001</v>
      </c>
      <c r="D28" s="26">
        <f>D27*(1+B11)</f>
        <v>12734.496000000001</v>
      </c>
      <c r="E28" s="26">
        <f>C28*B12</f>
        <v>4494.2040000000006</v>
      </c>
      <c r="F28" s="26">
        <f t="shared" si="1"/>
        <v>58085.1</v>
      </c>
      <c r="G28" s="9">
        <f t="shared" si="6"/>
        <v>41542.267053426978</v>
      </c>
      <c r="H28" s="9">
        <f t="shared" si="8"/>
        <v>12948.273309023743</v>
      </c>
      <c r="I28" s="9">
        <f t="shared" si="9"/>
        <v>4569.6493758769675</v>
      </c>
      <c r="J28" s="27">
        <f t="shared" si="2"/>
        <v>59060.189738327688</v>
      </c>
      <c r="K28" s="12">
        <f t="shared" si="7"/>
        <v>891568.43758701254</v>
      </c>
    </row>
    <row r="29" spans="1:11" x14ac:dyDescent="0.25">
      <c r="A29" s="25">
        <f t="shared" si="3"/>
        <v>4</v>
      </c>
      <c r="B29" s="25">
        <f t="shared" si="4"/>
        <v>49</v>
      </c>
      <c r="C29" s="26">
        <f t="shared" si="5"/>
        <v>58085.1</v>
      </c>
      <c r="D29" s="26">
        <f>D28*(1+B11)</f>
        <v>12989.185920000002</v>
      </c>
      <c r="E29" s="26">
        <f>C29*B12</f>
        <v>6389.3609999999999</v>
      </c>
      <c r="F29" s="26">
        <f t="shared" si="1"/>
        <v>77463.646919999999</v>
      </c>
      <c r="G29" s="9">
        <f t="shared" si="6"/>
        <v>59060.189738327688</v>
      </c>
      <c r="H29" s="9">
        <f t="shared" si="8"/>
        <v>13207.238775204218</v>
      </c>
      <c r="I29" s="9">
        <f t="shared" si="9"/>
        <v>6496.620871216046</v>
      </c>
      <c r="J29" s="27">
        <f t="shared" si="2"/>
        <v>78764.049384747952</v>
      </c>
      <c r="K29" s="12">
        <f t="shared" si="7"/>
        <v>891568.43758701254</v>
      </c>
    </row>
    <row r="30" spans="1:11" x14ac:dyDescent="0.25">
      <c r="A30" s="25">
        <f t="shared" si="3"/>
        <v>5</v>
      </c>
      <c r="B30" s="25">
        <f t="shared" si="4"/>
        <v>50</v>
      </c>
      <c r="C30" s="26">
        <f t="shared" si="5"/>
        <v>77463.646919999999</v>
      </c>
      <c r="D30" s="26">
        <f>D29*(1+B11)</f>
        <v>13248.969638400002</v>
      </c>
      <c r="E30" s="26">
        <f>C30*B12</f>
        <v>8521.0011611999998</v>
      </c>
      <c r="F30" s="26">
        <f t="shared" si="1"/>
        <v>99233.617719599992</v>
      </c>
      <c r="G30" s="9">
        <f t="shared" si="6"/>
        <v>78764.049384747952</v>
      </c>
      <c r="H30" s="9">
        <f t="shared" si="8"/>
        <v>13471.383550708302</v>
      </c>
      <c r="I30" s="9">
        <f t="shared" si="9"/>
        <v>8664.0454323222748</v>
      </c>
      <c r="J30" s="27">
        <f t="shared" si="2"/>
        <v>100899.47836777853</v>
      </c>
      <c r="K30" s="12">
        <f t="shared" si="7"/>
        <v>891568.43758701254</v>
      </c>
    </row>
    <row r="31" spans="1:11" x14ac:dyDescent="0.25">
      <c r="A31" s="25">
        <f t="shared" si="3"/>
        <v>6</v>
      </c>
      <c r="B31" s="25">
        <f t="shared" si="4"/>
        <v>51</v>
      </c>
      <c r="C31" s="26">
        <f t="shared" si="5"/>
        <v>99233.617719599992</v>
      </c>
      <c r="D31" s="26">
        <f>D30*(1+B11)</f>
        <v>13513.949031168002</v>
      </c>
      <c r="E31" s="26">
        <f>C31*B12</f>
        <v>10915.697949156</v>
      </c>
      <c r="F31" s="26">
        <f t="shared" si="1"/>
        <v>123663.264699924</v>
      </c>
      <c r="G31" s="9">
        <f t="shared" si="6"/>
        <v>100899.47836777853</v>
      </c>
      <c r="H31" s="9">
        <f t="shared" si="8"/>
        <v>13740.811221722468</v>
      </c>
      <c r="I31" s="9">
        <f t="shared" si="9"/>
        <v>11098.942620455638</v>
      </c>
      <c r="J31" s="27">
        <f t="shared" si="2"/>
        <v>125739.23220995664</v>
      </c>
      <c r="K31" s="12">
        <f t="shared" si="7"/>
        <v>891568.43758701254</v>
      </c>
    </row>
    <row r="32" spans="1:11" x14ac:dyDescent="0.25">
      <c r="A32" s="25">
        <f t="shared" si="3"/>
        <v>7</v>
      </c>
      <c r="B32" s="25">
        <f t="shared" si="4"/>
        <v>52</v>
      </c>
      <c r="C32" s="26">
        <f t="shared" si="5"/>
        <v>123663.264699924</v>
      </c>
      <c r="D32" s="26">
        <f>D31*(1+B11)</f>
        <v>13784.228011791361</v>
      </c>
      <c r="E32" s="26">
        <f>C32*B12</f>
        <v>13602.95911699164</v>
      </c>
      <c r="F32" s="26">
        <f t="shared" si="1"/>
        <v>151050.45182870698</v>
      </c>
      <c r="G32" s="9">
        <f t="shared" si="6"/>
        <v>125739.23220995664</v>
      </c>
      <c r="H32" s="9">
        <f t="shared" si="8"/>
        <v>14015.627446156917</v>
      </c>
      <c r="I32" s="9">
        <f t="shared" si="9"/>
        <v>13831.31554309523</v>
      </c>
      <c r="J32" s="27">
        <f t="shared" si="2"/>
        <v>153586.17519920878</v>
      </c>
      <c r="K32" s="12">
        <f t="shared" si="7"/>
        <v>891568.43758701254</v>
      </c>
    </row>
    <row r="33" spans="1:11" x14ac:dyDescent="0.25">
      <c r="A33" s="25">
        <f t="shared" si="3"/>
        <v>8</v>
      </c>
      <c r="B33" s="25">
        <f t="shared" si="4"/>
        <v>53</v>
      </c>
      <c r="C33" s="26">
        <f t="shared" si="5"/>
        <v>151050.45182870698</v>
      </c>
      <c r="D33" s="26">
        <f>D32*(1+B11)</f>
        <v>14059.91257202719</v>
      </c>
      <c r="E33" s="26">
        <f>C33*B12</f>
        <v>16615.549701157768</v>
      </c>
      <c r="F33" s="26">
        <f t="shared" si="1"/>
        <v>181725.91410189192</v>
      </c>
      <c r="G33" s="9">
        <f t="shared" si="6"/>
        <v>153586.17519920878</v>
      </c>
      <c r="H33" s="9">
        <f t="shared" si="8"/>
        <v>14295.939995080056</v>
      </c>
      <c r="I33" s="9">
        <f t="shared" si="9"/>
        <v>16894.479271912965</v>
      </c>
      <c r="J33" s="27">
        <f t="shared" si="2"/>
        <v>184776.59446620182</v>
      </c>
      <c r="K33" s="12">
        <f t="shared" si="7"/>
        <v>891568.43758701254</v>
      </c>
    </row>
    <row r="34" spans="1:11" x14ac:dyDescent="0.25">
      <c r="A34" s="25">
        <f t="shared" si="3"/>
        <v>9</v>
      </c>
      <c r="B34" s="25">
        <f t="shared" si="4"/>
        <v>54</v>
      </c>
      <c r="C34" s="26">
        <f t="shared" si="5"/>
        <v>181725.91410189192</v>
      </c>
      <c r="D34" s="26">
        <f>D33*(1+B11)</f>
        <v>14341.110823467734</v>
      </c>
      <c r="E34" s="26">
        <f>C34*B12</f>
        <v>19989.85055120811</v>
      </c>
      <c r="F34" s="26">
        <f t="shared" si="1"/>
        <v>216056.87547656774</v>
      </c>
      <c r="G34" s="9">
        <f t="shared" si="6"/>
        <v>184776.59446620182</v>
      </c>
      <c r="H34" s="9">
        <f t="shared" si="8"/>
        <v>14581.858794981657</v>
      </c>
      <c r="I34" s="9">
        <f t="shared" si="9"/>
        <v>20325.425391282199</v>
      </c>
      <c r="J34" s="27">
        <f t="shared" si="2"/>
        <v>219683.87865246565</v>
      </c>
      <c r="K34" s="12">
        <f t="shared" si="7"/>
        <v>891568.43758701254</v>
      </c>
    </row>
    <row r="35" spans="1:11" x14ac:dyDescent="0.25">
      <c r="A35" s="25">
        <f t="shared" si="3"/>
        <v>10</v>
      </c>
      <c r="B35" s="25">
        <f t="shared" si="4"/>
        <v>55</v>
      </c>
      <c r="C35" s="26">
        <f t="shared" si="5"/>
        <v>216056.87547656774</v>
      </c>
      <c r="D35" s="26">
        <f>D34*(1+B11)</f>
        <v>14627.933039937088</v>
      </c>
      <c r="E35" s="26">
        <f>C35*B12</f>
        <v>23766.256302422451</v>
      </c>
      <c r="F35" s="26">
        <f t="shared" si="1"/>
        <v>254451.06481892726</v>
      </c>
      <c r="G35" s="9">
        <f t="shared" si="6"/>
        <v>219683.87865246565</v>
      </c>
      <c r="H35" s="9">
        <f t="shared" si="8"/>
        <v>14873.495970881291</v>
      </c>
      <c r="I35" s="9">
        <f t="shared" si="9"/>
        <v>24165.22665177122</v>
      </c>
      <c r="J35" s="27">
        <f t="shared" si="2"/>
        <v>258722.60127511816</v>
      </c>
      <c r="K35" s="12">
        <f t="shared" si="7"/>
        <v>891568.43758701254</v>
      </c>
    </row>
    <row r="36" spans="1:11" x14ac:dyDescent="0.25">
      <c r="A36" s="25">
        <f t="shared" si="3"/>
        <v>11</v>
      </c>
      <c r="B36" s="25">
        <f t="shared" si="4"/>
        <v>56</v>
      </c>
      <c r="C36" s="26">
        <f t="shared" si="5"/>
        <v>254451.06481892726</v>
      </c>
      <c r="D36" s="26">
        <f>D35*(1+B11)</f>
        <v>14920.491700735831</v>
      </c>
      <c r="E36" s="26">
        <f>C36*B12</f>
        <v>27989.617130081999</v>
      </c>
      <c r="F36" s="26">
        <f t="shared" si="1"/>
        <v>297361.17364974506</v>
      </c>
      <c r="G36" s="9">
        <f t="shared" si="6"/>
        <v>258722.60127511816</v>
      </c>
      <c r="H36" s="9">
        <f t="shared" si="8"/>
        <v>15170.965890298918</v>
      </c>
      <c r="I36" s="9">
        <f t="shared" si="9"/>
        <v>28459.486140262998</v>
      </c>
      <c r="J36" s="27">
        <f t="shared" si="2"/>
        <v>302353.05330568005</v>
      </c>
      <c r="K36" s="12">
        <f t="shared" si="7"/>
        <v>891568.43758701254</v>
      </c>
    </row>
    <row r="37" spans="1:11" x14ac:dyDescent="0.25">
      <c r="A37" s="25">
        <f t="shared" si="3"/>
        <v>12</v>
      </c>
      <c r="B37" s="25">
        <f t="shared" si="4"/>
        <v>57</v>
      </c>
      <c r="C37" s="26">
        <f t="shared" si="5"/>
        <v>297361.17364974506</v>
      </c>
      <c r="D37" s="26">
        <f>D36*(1+B11)</f>
        <v>15218.901534750548</v>
      </c>
      <c r="E37" s="26">
        <f>C37*B12</f>
        <v>32709.729101471956</v>
      </c>
      <c r="F37" s="26">
        <f t="shared" si="1"/>
        <v>345289.80428596755</v>
      </c>
      <c r="G37" s="9">
        <f t="shared" si="6"/>
        <v>302353.05330568005</v>
      </c>
      <c r="H37" s="9">
        <f t="shared" si="8"/>
        <v>15474.385208104897</v>
      </c>
      <c r="I37" s="9">
        <f t="shared" si="9"/>
        <v>33258.835863624809</v>
      </c>
      <c r="J37" s="27">
        <f t="shared" si="2"/>
        <v>351086.27437740978</v>
      </c>
      <c r="K37" s="12">
        <f t="shared" si="7"/>
        <v>891568.43758701254</v>
      </c>
    </row>
    <row r="38" spans="1:11" x14ac:dyDescent="0.25">
      <c r="A38" s="25">
        <f t="shared" si="3"/>
        <v>13</v>
      </c>
      <c r="B38" s="25">
        <f t="shared" si="4"/>
        <v>58</v>
      </c>
      <c r="C38" s="26">
        <f t="shared" si="5"/>
        <v>345289.80428596755</v>
      </c>
      <c r="D38" s="26">
        <f>D37*(1+B11)</f>
        <v>15523.27956544556</v>
      </c>
      <c r="E38" s="26">
        <f>C38*B12</f>
        <v>37981.878471456432</v>
      </c>
      <c r="F38" s="26">
        <f t="shared" si="1"/>
        <v>398794.96232286951</v>
      </c>
      <c r="G38" s="9">
        <f t="shared" si="6"/>
        <v>351086.27437740978</v>
      </c>
      <c r="H38" s="9">
        <f t="shared" si="8"/>
        <v>15783.872912266996</v>
      </c>
      <c r="I38" s="9">
        <f t="shared" si="9"/>
        <v>38619.490181515073</v>
      </c>
      <c r="J38" s="27">
        <f t="shared" si="2"/>
        <v>405489.63747119182</v>
      </c>
      <c r="K38" s="12">
        <f t="shared" si="7"/>
        <v>891568.43758701254</v>
      </c>
    </row>
    <row r="39" spans="1:11" x14ac:dyDescent="0.25">
      <c r="A39" s="25">
        <f t="shared" si="3"/>
        <v>14</v>
      </c>
      <c r="B39" s="25">
        <f t="shared" si="4"/>
        <v>59</v>
      </c>
      <c r="C39" s="26">
        <f t="shared" si="5"/>
        <v>398794.96232286951</v>
      </c>
      <c r="D39" s="26">
        <f>D38*(1+B11)</f>
        <v>15833.745156754472</v>
      </c>
      <c r="E39" s="26">
        <f>C39*B12</f>
        <v>43867.445855515645</v>
      </c>
      <c r="F39" s="26">
        <f t="shared" si="1"/>
        <v>458496.15333513962</v>
      </c>
      <c r="G39" s="9">
        <f t="shared" si="6"/>
        <v>405489.63747119182</v>
      </c>
      <c r="H39" s="9">
        <f t="shared" si="8"/>
        <v>16099.550370512336</v>
      </c>
      <c r="I39" s="9">
        <f t="shared" si="9"/>
        <v>44603.860121831101</v>
      </c>
      <c r="J39" s="27">
        <f t="shared" si="2"/>
        <v>466193.0479635353</v>
      </c>
      <c r="K39" s="12">
        <f t="shared" si="7"/>
        <v>891568.43758701254</v>
      </c>
    </row>
    <row r="40" spans="1:11" x14ac:dyDescent="0.25">
      <c r="A40" s="25">
        <f t="shared" si="3"/>
        <v>15</v>
      </c>
      <c r="B40" s="25">
        <f t="shared" si="4"/>
        <v>60</v>
      </c>
      <c r="C40" s="26">
        <f t="shared" si="5"/>
        <v>458496.15333513962</v>
      </c>
      <c r="D40" s="26">
        <f>D39*(1+B11)</f>
        <v>16150.420059889562</v>
      </c>
      <c r="E40" s="26">
        <f>C40*B12</f>
        <v>50434.576866865362</v>
      </c>
      <c r="F40" s="26">
        <f t="shared" si="1"/>
        <v>525081.15026189457</v>
      </c>
      <c r="G40" s="9">
        <f t="shared" si="6"/>
        <v>466193.0479635353</v>
      </c>
      <c r="H40" s="9">
        <f t="shared" si="8"/>
        <v>16421.541377922582</v>
      </c>
      <c r="I40" s="9">
        <f t="shared" si="9"/>
        <v>51281.235275988882</v>
      </c>
      <c r="J40" s="27">
        <f t="shared" si="2"/>
        <v>533895.82461744675</v>
      </c>
      <c r="K40" s="12">
        <f t="shared" si="7"/>
        <v>891568.43758701254</v>
      </c>
    </row>
    <row r="41" spans="1:11" x14ac:dyDescent="0.25">
      <c r="A41" s="25">
        <f t="shared" si="3"/>
        <v>16</v>
      </c>
      <c r="B41" s="25">
        <f t="shared" si="4"/>
        <v>61</v>
      </c>
      <c r="C41" s="26">
        <f t="shared" si="5"/>
        <v>525081.15026189457</v>
      </c>
      <c r="D41" s="26">
        <f>D40*(1+B11)</f>
        <v>16473.428461087355</v>
      </c>
      <c r="E41" s="26">
        <f>C41*B12</f>
        <v>57758.926528808406</v>
      </c>
      <c r="F41" s="26">
        <f t="shared" si="1"/>
        <v>599313.5052517904</v>
      </c>
      <c r="G41" s="9">
        <f t="shared" si="6"/>
        <v>533895.82461744675</v>
      </c>
      <c r="H41" s="9">
        <f t="shared" si="8"/>
        <v>16749.972205481034</v>
      </c>
      <c r="I41" s="9">
        <f t="shared" si="9"/>
        <v>58728.540707919143</v>
      </c>
      <c r="J41" s="27">
        <f t="shared" si="2"/>
        <v>609374.33753084694</v>
      </c>
      <c r="K41" s="12">
        <f t="shared" si="7"/>
        <v>891568.43758701254</v>
      </c>
    </row>
    <row r="42" spans="1:11" x14ac:dyDescent="0.25">
      <c r="A42" s="25">
        <f t="shared" si="3"/>
        <v>17</v>
      </c>
      <c r="B42" s="25">
        <f t="shared" si="4"/>
        <v>62</v>
      </c>
      <c r="C42" s="26">
        <f t="shared" si="5"/>
        <v>599313.5052517904</v>
      </c>
      <c r="D42" s="26">
        <f>D41*(1+B11)</f>
        <v>16802.897030309101</v>
      </c>
      <c r="E42" s="26">
        <f>C42*B12</f>
        <v>65924.485577696949</v>
      </c>
      <c r="F42" s="26">
        <f t="shared" si="1"/>
        <v>682040.88785979641</v>
      </c>
      <c r="G42" s="9">
        <f t="shared" si="6"/>
        <v>609374.33753084694</v>
      </c>
      <c r="H42" s="9">
        <f t="shared" si="8"/>
        <v>17084.971649590654</v>
      </c>
      <c r="I42" s="9">
        <f t="shared" si="9"/>
        <v>67031.177128393159</v>
      </c>
      <c r="J42" s="27">
        <f t="shared" si="2"/>
        <v>693490.48630883079</v>
      </c>
      <c r="K42" s="12">
        <f t="shared" si="7"/>
        <v>891568.43758701254</v>
      </c>
    </row>
    <row r="43" spans="1:11" x14ac:dyDescent="0.25">
      <c r="A43" s="25">
        <f t="shared" si="3"/>
        <v>18</v>
      </c>
      <c r="B43" s="25">
        <f t="shared" si="4"/>
        <v>63</v>
      </c>
      <c r="C43" s="26">
        <f t="shared" si="5"/>
        <v>682040.88785979641</v>
      </c>
      <c r="D43" s="26">
        <f>D42*(1+B11)</f>
        <v>17138.954970915282</v>
      </c>
      <c r="E43" s="26">
        <f>C43*B12</f>
        <v>75024.497664577604</v>
      </c>
      <c r="F43" s="26">
        <f t="shared" si="1"/>
        <v>774204.3404952893</v>
      </c>
      <c r="G43" s="9">
        <f t="shared" si="6"/>
        <v>693490.48630883079</v>
      </c>
      <c r="H43" s="9">
        <f t="shared" si="8"/>
        <v>17426.671082582467</v>
      </c>
      <c r="I43" s="9">
        <f t="shared" si="9"/>
        <v>76283.953493971392</v>
      </c>
      <c r="J43" s="27">
        <f t="shared" si="2"/>
        <v>787201.11088538461</v>
      </c>
      <c r="K43" s="12">
        <f t="shared" si="7"/>
        <v>891568.43758701254</v>
      </c>
    </row>
    <row r="44" spans="1:11" x14ac:dyDescent="0.25">
      <c r="A44" s="25">
        <f t="shared" si="3"/>
        <v>19</v>
      </c>
      <c r="B44" s="25">
        <f t="shared" si="4"/>
        <v>64</v>
      </c>
      <c r="C44" s="26">
        <f t="shared" si="5"/>
        <v>774204.3404952893</v>
      </c>
      <c r="D44" s="26">
        <f>D43*(1+B11)</f>
        <v>17481.734070333587</v>
      </c>
      <c r="E44" s="26">
        <f>C44*B12</f>
        <v>85162.477454481821</v>
      </c>
      <c r="F44" s="26">
        <f t="shared" si="1"/>
        <v>876848.5520201046</v>
      </c>
      <c r="G44" s="9">
        <f t="shared" si="6"/>
        <v>787201.11088538461</v>
      </c>
      <c r="H44" s="9">
        <f t="shared" si="8"/>
        <v>17775.204504234116</v>
      </c>
      <c r="I44" s="9">
        <f t="shared" si="9"/>
        <v>86592.122197392309</v>
      </c>
      <c r="J44" s="27">
        <f t="shared" si="2"/>
        <v>891568.43758701102</v>
      </c>
      <c r="K44" s="12">
        <f t="shared" si="7"/>
        <v>891568.43758701254</v>
      </c>
    </row>
    <row r="45" spans="1:11" x14ac:dyDescent="0.25">
      <c r="A45" s="25">
        <f t="shared" si="3"/>
        <v>20</v>
      </c>
      <c r="B45" s="25">
        <f t="shared" si="4"/>
        <v>65</v>
      </c>
      <c r="C45" s="26">
        <f t="shared" si="5"/>
        <v>876848.5520201046</v>
      </c>
      <c r="D45" s="26">
        <f>D44*(1+B11)</f>
        <v>17831.368751740258</v>
      </c>
      <c r="E45" s="26">
        <f>C45*B12</f>
        <v>96453.340722211506</v>
      </c>
      <c r="F45" s="26">
        <f t="shared" si="1"/>
        <v>991133.26149405644</v>
      </c>
      <c r="G45" s="9">
        <f t="shared" si="6"/>
        <v>891568.43758701102</v>
      </c>
      <c r="H45" s="9">
        <f t="shared" si="8"/>
        <v>18130.708594318799</v>
      </c>
      <c r="I45" s="9">
        <f t="shared" si="9"/>
        <v>98072.528134571214</v>
      </c>
      <c r="J45" s="27">
        <f t="shared" si="2"/>
        <v>1007771.674315901</v>
      </c>
      <c r="K45" s="12">
        <f t="shared" si="7"/>
        <v>891568.43758701254</v>
      </c>
    </row>
    <row r="46" spans="1:11" x14ac:dyDescent="0.25">
      <c r="A46" s="25">
        <f t="shared" si="3"/>
        <v>21</v>
      </c>
      <c r="B46" s="25">
        <f t="shared" si="4"/>
        <v>66</v>
      </c>
      <c r="C46" s="26">
        <f t="shared" si="5"/>
        <v>991133.26149405644</v>
      </c>
      <c r="D46" s="26">
        <f>D45*(1+B11)</f>
        <v>18187.996126775062</v>
      </c>
      <c r="E46" s="26">
        <f>C46*B12</f>
        <v>109024.65876434621</v>
      </c>
      <c r="F46" s="26">
        <f t="shared" si="1"/>
        <v>1118345.9163851778</v>
      </c>
      <c r="G46" s="9">
        <f t="shared" si="6"/>
        <v>1007771.674315901</v>
      </c>
      <c r="H46" s="9">
        <f t="shared" si="8"/>
        <v>18493.322766205176</v>
      </c>
      <c r="I46" s="9">
        <f t="shared" si="9"/>
        <v>110854.88417474911</v>
      </c>
      <c r="J46" s="27">
        <f t="shared" si="2"/>
        <v>1137119.8812568553</v>
      </c>
      <c r="K46" s="12">
        <f t="shared" si="7"/>
        <v>891568.43758701254</v>
      </c>
    </row>
    <row r="47" spans="1:11" x14ac:dyDescent="0.25">
      <c r="A47" s="25">
        <f t="shared" si="3"/>
        <v>22</v>
      </c>
      <c r="B47" s="25">
        <f t="shared" si="4"/>
        <v>67</v>
      </c>
      <c r="C47" s="26">
        <f t="shared" si="5"/>
        <v>1118345.9163851778</v>
      </c>
      <c r="D47" s="26">
        <f>D46*(1+B11)</f>
        <v>18551.756049310563</v>
      </c>
      <c r="E47" s="26">
        <f>C47*B12</f>
        <v>123018.05080236956</v>
      </c>
      <c r="F47" s="26">
        <f t="shared" si="1"/>
        <v>1259915.7232368579</v>
      </c>
      <c r="G47" s="9">
        <f t="shared" si="6"/>
        <v>1137119.8812568553</v>
      </c>
      <c r="H47" s="9">
        <f t="shared" si="8"/>
        <v>18863.189221529279</v>
      </c>
      <c r="I47" s="9">
        <f t="shared" si="9"/>
        <v>125083.18693825409</v>
      </c>
      <c r="J47" s="27">
        <f t="shared" si="2"/>
        <v>1281066.2574166388</v>
      </c>
      <c r="K47" s="12">
        <f t="shared" si="7"/>
        <v>891568.43758701254</v>
      </c>
    </row>
    <row r="48" spans="1:11" x14ac:dyDescent="0.25">
      <c r="A48" s="25">
        <f t="shared" si="3"/>
        <v>23</v>
      </c>
      <c r="B48" s="25">
        <f t="shared" si="4"/>
        <v>68</v>
      </c>
      <c r="C48" s="26">
        <f t="shared" si="5"/>
        <v>1259915.7232368579</v>
      </c>
      <c r="D48" s="26">
        <f>D47*(1+B11)</f>
        <v>18922.791170296776</v>
      </c>
      <c r="E48" s="26">
        <f>C48*B12</f>
        <v>138590.72955605437</v>
      </c>
      <c r="F48" s="26">
        <f t="shared" si="1"/>
        <v>1417429.243963209</v>
      </c>
      <c r="G48" s="9">
        <f t="shared" si="6"/>
        <v>1281066.2574166388</v>
      </c>
      <c r="H48" s="9">
        <f t="shared" si="8"/>
        <v>19240.453005959866</v>
      </c>
      <c r="I48" s="9">
        <f t="shared" si="9"/>
        <v>140917.28831583026</v>
      </c>
      <c r="J48" s="27">
        <f t="shared" si="2"/>
        <v>1441223.998738429</v>
      </c>
      <c r="K48" s="12">
        <f t="shared" si="7"/>
        <v>891568.43758701254</v>
      </c>
    </row>
    <row r="49" spans="1:11" x14ac:dyDescent="0.25">
      <c r="A49" s="25">
        <f t="shared" si="3"/>
        <v>24</v>
      </c>
      <c r="B49" s="25">
        <f t="shared" si="4"/>
        <v>69</v>
      </c>
      <c r="C49" s="26">
        <f t="shared" si="5"/>
        <v>1417429.243963209</v>
      </c>
      <c r="D49" s="26">
        <f t="shared" ref="D49:D80" si="10">D48*(1+$B$11)</f>
        <v>19301.246993702713</v>
      </c>
      <c r="E49" s="26">
        <f t="shared" ref="E49:E80" si="11">C49*$B$12</f>
        <v>155917.21683595298</v>
      </c>
      <c r="F49" s="26">
        <f t="shared" si="1"/>
        <v>1592647.7077928646</v>
      </c>
      <c r="G49" s="9">
        <f t="shared" si="6"/>
        <v>1441223.998738429</v>
      </c>
      <c r="H49" s="9">
        <f t="shared" si="8"/>
        <v>19625.262066079064</v>
      </c>
      <c r="I49" s="9">
        <f t="shared" si="9"/>
        <v>158534.63986122719</v>
      </c>
      <c r="J49" s="27">
        <f t="shared" si="2"/>
        <v>1619383.9006657354</v>
      </c>
      <c r="K49" s="12">
        <f t="shared" si="7"/>
        <v>891568.43758701254</v>
      </c>
    </row>
    <row r="50" spans="1:11" x14ac:dyDescent="0.25">
      <c r="A50" s="25">
        <f t="shared" si="3"/>
        <v>25</v>
      </c>
      <c r="B50" s="25">
        <f t="shared" si="4"/>
        <v>70</v>
      </c>
      <c r="C50" s="26">
        <f t="shared" si="5"/>
        <v>1592647.7077928646</v>
      </c>
      <c r="D50" s="26">
        <f t="shared" si="10"/>
        <v>19687.271933576769</v>
      </c>
      <c r="E50" s="26">
        <f t="shared" si="11"/>
        <v>175191.24785721512</v>
      </c>
      <c r="F50" s="26">
        <f t="shared" si="1"/>
        <v>1787526.2275836566</v>
      </c>
      <c r="G50" s="9">
        <f t="shared" si="6"/>
        <v>1619383.9006657354</v>
      </c>
      <c r="H50" s="9">
        <f t="shared" si="8"/>
        <v>20017.767307400645</v>
      </c>
      <c r="I50" s="9">
        <f t="shared" si="9"/>
        <v>178132.2290732309</v>
      </c>
      <c r="J50" s="27">
        <f t="shared" si="2"/>
        <v>1817533.8970463669</v>
      </c>
      <c r="K50" s="12">
        <f t="shared" si="7"/>
        <v>891568.43758701254</v>
      </c>
    </row>
    <row r="51" spans="1:11" x14ac:dyDescent="0.25">
      <c r="A51" s="25">
        <f t="shared" ref="A51:A61" si="12">A50+1</f>
        <v>26</v>
      </c>
      <c r="B51" s="25">
        <f t="shared" si="4"/>
        <v>71</v>
      </c>
      <c r="C51" s="26">
        <f t="shared" ref="C51:C61" si="13">F50</f>
        <v>1787526.2275836566</v>
      </c>
      <c r="D51" s="26">
        <f t="shared" si="10"/>
        <v>20081.017372248305</v>
      </c>
      <c r="E51" s="26">
        <f t="shared" si="11"/>
        <v>196627.88503420222</v>
      </c>
      <c r="F51" s="26">
        <f t="shared" ref="F51:F61" si="14">C51+D51+E51</f>
        <v>2004235.1299901069</v>
      </c>
      <c r="G51" s="9">
        <f t="shared" si="6"/>
        <v>1817533.8970463669</v>
      </c>
      <c r="H51" s="9">
        <f t="shared" si="8"/>
        <v>20418.122653548657</v>
      </c>
      <c r="I51" s="9">
        <f t="shared" si="9"/>
        <v>199928.72867510037</v>
      </c>
      <c r="J51" s="27">
        <f t="shared" si="2"/>
        <v>2037880.7483750158</v>
      </c>
      <c r="K51" s="12">
        <f t="shared" si="7"/>
        <v>891568.43758701254</v>
      </c>
    </row>
    <row r="52" spans="1:11" x14ac:dyDescent="0.25">
      <c r="A52" s="25">
        <f t="shared" si="12"/>
        <v>27</v>
      </c>
      <c r="B52" s="25">
        <f t="shared" si="4"/>
        <v>72</v>
      </c>
      <c r="C52" s="26">
        <f t="shared" si="13"/>
        <v>2004235.1299901069</v>
      </c>
      <c r="D52" s="26">
        <f t="shared" si="10"/>
        <v>20482.63771969327</v>
      </c>
      <c r="E52" s="26">
        <f t="shared" si="11"/>
        <v>220465.86429891177</v>
      </c>
      <c r="F52" s="26">
        <f t="shared" si="14"/>
        <v>2245183.6320087118</v>
      </c>
      <c r="G52" s="9">
        <f t="shared" si="6"/>
        <v>2037880.7483750158</v>
      </c>
      <c r="H52" s="9">
        <f t="shared" si="8"/>
        <v>20826.485106619632</v>
      </c>
      <c r="I52" s="9">
        <f t="shared" si="9"/>
        <v>224166.88232125173</v>
      </c>
      <c r="J52" s="27">
        <f t="shared" si="2"/>
        <v>2282874.1158028869</v>
      </c>
      <c r="K52" s="12">
        <f t="shared" si="7"/>
        <v>891568.43758701254</v>
      </c>
    </row>
    <row r="53" spans="1:11" x14ac:dyDescent="0.25">
      <c r="A53" s="25">
        <f t="shared" si="12"/>
        <v>28</v>
      </c>
      <c r="B53" s="25">
        <f t="shared" si="4"/>
        <v>73</v>
      </c>
      <c r="C53" s="26">
        <f t="shared" si="13"/>
        <v>2245183.6320087118</v>
      </c>
      <c r="D53" s="26">
        <f t="shared" si="10"/>
        <v>20892.290474087134</v>
      </c>
      <c r="E53" s="26">
        <f t="shared" si="11"/>
        <v>246970.1995209583</v>
      </c>
      <c r="F53" s="26">
        <f t="shared" si="14"/>
        <v>2513046.1220037569</v>
      </c>
      <c r="G53" s="9">
        <f t="shared" si="6"/>
        <v>2282874.1158028869</v>
      </c>
      <c r="H53" s="9">
        <f t="shared" si="8"/>
        <v>21243.014808752025</v>
      </c>
      <c r="I53" s="9">
        <f t="shared" si="9"/>
        <v>251116.15273831756</v>
      </c>
      <c r="J53" s="27">
        <f t="shared" si="2"/>
        <v>2555233.2833499564</v>
      </c>
      <c r="K53" s="12">
        <f t="shared" si="7"/>
        <v>891568.43758701254</v>
      </c>
    </row>
    <row r="54" spans="1:11" x14ac:dyDescent="0.25">
      <c r="A54" s="25">
        <f t="shared" si="12"/>
        <v>29</v>
      </c>
      <c r="B54" s="25">
        <f t="shared" si="4"/>
        <v>74</v>
      </c>
      <c r="C54" s="26">
        <f t="shared" si="13"/>
        <v>2513046.1220037569</v>
      </c>
      <c r="D54" s="26">
        <f t="shared" si="10"/>
        <v>21310.136283568878</v>
      </c>
      <c r="E54" s="26">
        <f t="shared" si="11"/>
        <v>276435.07342041325</v>
      </c>
      <c r="F54" s="26">
        <f t="shared" si="14"/>
        <v>2810791.3317077393</v>
      </c>
      <c r="G54" s="9">
        <f t="shared" si="6"/>
        <v>2555233.2833499564</v>
      </c>
      <c r="H54" s="9">
        <f t="shared" si="8"/>
        <v>21667.875104927065</v>
      </c>
      <c r="I54" s="9">
        <f t="shared" si="9"/>
        <v>281075.66116849519</v>
      </c>
      <c r="J54" s="27">
        <f t="shared" si="2"/>
        <v>2857976.8196233786</v>
      </c>
      <c r="K54" s="12">
        <f t="shared" si="7"/>
        <v>891568.43758701254</v>
      </c>
    </row>
    <row r="55" spans="1:11" x14ac:dyDescent="0.25">
      <c r="A55" s="25">
        <f t="shared" si="12"/>
        <v>30</v>
      </c>
      <c r="B55" s="25">
        <f t="shared" si="4"/>
        <v>75</v>
      </c>
      <c r="C55" s="26">
        <f t="shared" si="13"/>
        <v>2810791.3317077393</v>
      </c>
      <c r="D55" s="26">
        <f t="shared" si="10"/>
        <v>21736.339009240255</v>
      </c>
      <c r="E55" s="26">
        <f t="shared" si="11"/>
        <v>309187.0464878513</v>
      </c>
      <c r="F55" s="26">
        <f t="shared" si="14"/>
        <v>3141714.7172048306</v>
      </c>
      <c r="G55" s="9">
        <f t="shared" si="6"/>
        <v>2857976.8196233786</v>
      </c>
      <c r="H55" s="9">
        <f t="shared" si="8"/>
        <v>22101.232607025606</v>
      </c>
      <c r="I55" s="9">
        <f t="shared" si="9"/>
        <v>314377.45015857165</v>
      </c>
      <c r="J55" s="27">
        <f t="shared" si="2"/>
        <v>3194455.502388976</v>
      </c>
      <c r="K55" s="12">
        <f t="shared" si="7"/>
        <v>891568.43758701254</v>
      </c>
    </row>
    <row r="56" spans="1:11" x14ac:dyDescent="0.25">
      <c r="A56" s="25">
        <f t="shared" si="12"/>
        <v>31</v>
      </c>
      <c r="B56" s="25">
        <f t="shared" si="4"/>
        <v>76</v>
      </c>
      <c r="C56" s="26">
        <f t="shared" si="13"/>
        <v>3141714.7172048306</v>
      </c>
      <c r="D56" s="26">
        <f t="shared" si="10"/>
        <v>22171.065789425062</v>
      </c>
      <c r="E56" s="26">
        <f t="shared" si="11"/>
        <v>345588.61889253138</v>
      </c>
      <c r="F56" s="26">
        <f t="shared" si="14"/>
        <v>3509474.4018867873</v>
      </c>
      <c r="G56" s="9">
        <f t="shared" si="6"/>
        <v>3194455.502388976</v>
      </c>
      <c r="H56" s="9">
        <f t="shared" si="8"/>
        <v>22543.257259166119</v>
      </c>
      <c r="I56" s="9">
        <f t="shared" si="9"/>
        <v>351390.10526278737</v>
      </c>
      <c r="J56" s="27">
        <f t="shared" si="2"/>
        <v>3568388.8649109299</v>
      </c>
      <c r="K56" s="12">
        <f t="shared" si="7"/>
        <v>891568.43758701254</v>
      </c>
    </row>
    <row r="57" spans="1:11" x14ac:dyDescent="0.25">
      <c r="A57" s="25">
        <f t="shared" si="12"/>
        <v>32</v>
      </c>
      <c r="B57" s="25">
        <f t="shared" si="4"/>
        <v>77</v>
      </c>
      <c r="C57" s="26">
        <f t="shared" si="13"/>
        <v>3509474.4018867873</v>
      </c>
      <c r="D57" s="26">
        <f t="shared" si="10"/>
        <v>22614.487105213564</v>
      </c>
      <c r="E57" s="26">
        <f t="shared" si="11"/>
        <v>386042.18420754658</v>
      </c>
      <c r="F57" s="26">
        <f t="shared" si="14"/>
        <v>3918131.0731995474</v>
      </c>
      <c r="G57" s="9">
        <f t="shared" si="6"/>
        <v>3568388.8649109299</v>
      </c>
      <c r="H57" s="9">
        <f t="shared" si="8"/>
        <v>22994.12240434944</v>
      </c>
      <c r="I57" s="9">
        <f t="shared" si="9"/>
        <v>392522.77514020231</v>
      </c>
      <c r="J57" s="27">
        <f t="shared" si="2"/>
        <v>3983905.7624554816</v>
      </c>
      <c r="K57" s="12">
        <f t="shared" si="7"/>
        <v>891568.43758701254</v>
      </c>
    </row>
    <row r="58" spans="1:11" x14ac:dyDescent="0.25">
      <c r="A58" s="25">
        <f t="shared" si="12"/>
        <v>33</v>
      </c>
      <c r="B58" s="25">
        <f t="shared" si="4"/>
        <v>78</v>
      </c>
      <c r="C58" s="26">
        <f t="shared" si="13"/>
        <v>3918131.0731995474</v>
      </c>
      <c r="D58" s="26">
        <f t="shared" si="10"/>
        <v>23066.776847317837</v>
      </c>
      <c r="E58" s="26">
        <f t="shared" si="11"/>
        <v>430994.41805195023</v>
      </c>
      <c r="F58" s="26">
        <f t="shared" si="14"/>
        <v>4372192.2680988153</v>
      </c>
      <c r="G58" s="9">
        <f t="shared" si="6"/>
        <v>3983905.7624554816</v>
      </c>
      <c r="H58" s="9">
        <f t="shared" si="8"/>
        <v>23454.004852436428</v>
      </c>
      <c r="I58" s="9">
        <f t="shared" si="9"/>
        <v>438229.63387010299</v>
      </c>
      <c r="J58" s="27">
        <f t="shared" si="2"/>
        <v>4445589.401178021</v>
      </c>
      <c r="K58" s="12">
        <f t="shared" si="7"/>
        <v>891568.43758701254</v>
      </c>
    </row>
    <row r="59" spans="1:11" x14ac:dyDescent="0.25">
      <c r="A59" s="25">
        <f t="shared" si="12"/>
        <v>34</v>
      </c>
      <c r="B59" s="25">
        <f t="shared" si="4"/>
        <v>79</v>
      </c>
      <c r="C59" s="26">
        <f t="shared" si="13"/>
        <v>4372192.2680988153</v>
      </c>
      <c r="D59" s="26">
        <f t="shared" si="10"/>
        <v>23528.112384264194</v>
      </c>
      <c r="E59" s="26">
        <f t="shared" si="11"/>
        <v>480941.14949086966</v>
      </c>
      <c r="F59" s="26">
        <f t="shared" si="14"/>
        <v>4876661.5299739493</v>
      </c>
      <c r="G59" s="9">
        <f t="shared" si="6"/>
        <v>4445589.401178021</v>
      </c>
      <c r="H59" s="9">
        <f t="shared" si="8"/>
        <v>23923.084949485157</v>
      </c>
      <c r="I59" s="9">
        <f t="shared" si="9"/>
        <v>489014.83412958233</v>
      </c>
      <c r="J59" s="27">
        <f t="shared" si="2"/>
        <v>4958527.3202570882</v>
      </c>
      <c r="K59" s="12">
        <f t="shared" si="7"/>
        <v>891568.43758701254</v>
      </c>
    </row>
    <row r="60" spans="1:11" x14ac:dyDescent="0.25">
      <c r="A60" s="25">
        <f t="shared" si="12"/>
        <v>35</v>
      </c>
      <c r="B60" s="25">
        <f t="shared" si="4"/>
        <v>80</v>
      </c>
      <c r="C60" s="26">
        <f t="shared" si="13"/>
        <v>4876661.5299739493</v>
      </c>
      <c r="D60" s="26">
        <f t="shared" si="10"/>
        <v>23998.674631949478</v>
      </c>
      <c r="E60" s="26">
        <f t="shared" si="11"/>
        <v>536432.76829713443</v>
      </c>
      <c r="F60" s="26">
        <f t="shared" si="14"/>
        <v>5437092.9729030337</v>
      </c>
      <c r="G60" s="9">
        <f t="shared" si="6"/>
        <v>4958527.3202570882</v>
      </c>
      <c r="H60" s="9">
        <f t="shared" si="8"/>
        <v>24401.546648474861</v>
      </c>
      <c r="I60" s="9">
        <f t="shared" si="9"/>
        <v>545438.00522827974</v>
      </c>
      <c r="J60" s="27">
        <f t="shared" si="2"/>
        <v>5528366.8721338427</v>
      </c>
      <c r="K60" s="12">
        <f t="shared" si="7"/>
        <v>891568.43758701254</v>
      </c>
    </row>
    <row r="61" spans="1:11" x14ac:dyDescent="0.25">
      <c r="A61" s="25">
        <f t="shared" si="12"/>
        <v>36</v>
      </c>
      <c r="B61" s="25">
        <f t="shared" si="4"/>
        <v>81</v>
      </c>
      <c r="C61" s="26">
        <f t="shared" si="13"/>
        <v>5437092.9729030337</v>
      </c>
      <c r="D61" s="26">
        <f t="shared" si="10"/>
        <v>24478.648124588468</v>
      </c>
      <c r="E61" s="26">
        <f t="shared" si="11"/>
        <v>598080.22701933375</v>
      </c>
      <c r="F61" s="26">
        <f t="shared" si="14"/>
        <v>6059651.8480469566</v>
      </c>
      <c r="G61" s="9">
        <f t="shared" si="6"/>
        <v>5528366.8721338427</v>
      </c>
      <c r="H61" s="9">
        <f t="shared" si="8"/>
        <v>24889.577581444359</v>
      </c>
      <c r="I61" s="9">
        <f t="shared" si="9"/>
        <v>608120.3559347227</v>
      </c>
      <c r="J61" s="27">
        <f t="shared" si="2"/>
        <v>6161376.8056500098</v>
      </c>
      <c r="K61" s="12">
        <f t="shared" si="7"/>
        <v>891568.43758701254</v>
      </c>
    </row>
    <row r="62" spans="1:11" x14ac:dyDescent="0.25">
      <c r="A62" s="25">
        <f t="shared" ref="A62:A70" si="15">A61+1</f>
        <v>37</v>
      </c>
      <c r="B62" s="25">
        <f t="shared" si="4"/>
        <v>82</v>
      </c>
      <c r="C62" s="26">
        <f t="shared" ref="C62:C70" si="16">F61</f>
        <v>6059651.8480469566</v>
      </c>
      <c r="D62" s="26">
        <f t="shared" si="10"/>
        <v>24968.221087080237</v>
      </c>
      <c r="E62" s="26">
        <f t="shared" si="11"/>
        <v>666561.70328516525</v>
      </c>
      <c r="F62" s="26">
        <f t="shared" ref="F62:F70" si="17">C62+D62+E62</f>
        <v>6751181.7724192021</v>
      </c>
      <c r="G62" s="9">
        <f t="shared" si="6"/>
        <v>6161376.8056500098</v>
      </c>
      <c r="H62" s="9">
        <f t="shared" si="8"/>
        <v>25387.369133073247</v>
      </c>
      <c r="I62" s="9">
        <f t="shared" si="9"/>
        <v>677751.4486215011</v>
      </c>
      <c r="J62" s="27">
        <f t="shared" si="2"/>
        <v>6864515.6234045839</v>
      </c>
      <c r="K62" s="12">
        <f t="shared" si="7"/>
        <v>891568.43758701254</v>
      </c>
    </row>
    <row r="63" spans="1:11" x14ac:dyDescent="0.25">
      <c r="A63" s="25">
        <f t="shared" si="15"/>
        <v>38</v>
      </c>
      <c r="B63" s="25">
        <f t="shared" si="4"/>
        <v>83</v>
      </c>
      <c r="C63" s="26">
        <f t="shared" si="16"/>
        <v>6751181.7724192021</v>
      </c>
      <c r="D63" s="26">
        <f t="shared" si="10"/>
        <v>25467.585508821841</v>
      </c>
      <c r="E63" s="26">
        <f t="shared" si="11"/>
        <v>742629.99496611219</v>
      </c>
      <c r="F63" s="26">
        <f t="shared" si="17"/>
        <v>7519279.3528941358</v>
      </c>
      <c r="G63" s="9">
        <f t="shared" si="6"/>
        <v>6864515.6234045839</v>
      </c>
      <c r="H63" s="9">
        <f t="shared" si="8"/>
        <v>25895.116515734713</v>
      </c>
      <c r="I63" s="9">
        <f t="shared" si="9"/>
        <v>755096.71857450425</v>
      </c>
      <c r="J63" s="27">
        <f t="shared" si="2"/>
        <v>7645507.4584948234</v>
      </c>
      <c r="K63" s="12">
        <f t="shared" si="7"/>
        <v>891568.43758701254</v>
      </c>
    </row>
    <row r="64" spans="1:11" x14ac:dyDescent="0.25">
      <c r="A64" s="25">
        <f t="shared" si="15"/>
        <v>39</v>
      </c>
      <c r="B64" s="25">
        <f t="shared" si="4"/>
        <v>84</v>
      </c>
      <c r="C64" s="26">
        <f t="shared" si="16"/>
        <v>7519279.3528941358</v>
      </c>
      <c r="D64" s="26">
        <f t="shared" si="10"/>
        <v>25976.937218998279</v>
      </c>
      <c r="E64" s="26">
        <f t="shared" si="11"/>
        <v>827120.7288183549</v>
      </c>
      <c r="F64" s="26">
        <f t="shared" si="17"/>
        <v>8372377.0189314894</v>
      </c>
      <c r="G64" s="9">
        <f t="shared" si="6"/>
        <v>7645507.4584948234</v>
      </c>
      <c r="H64" s="9">
        <f t="shared" si="8"/>
        <v>26413.018846049406</v>
      </c>
      <c r="I64" s="9">
        <f t="shared" si="9"/>
        <v>841005.82043443061</v>
      </c>
      <c r="J64" s="27">
        <f t="shared" si="2"/>
        <v>8512926.2977753021</v>
      </c>
      <c r="K64" s="12">
        <f t="shared" si="7"/>
        <v>891568.43758701254</v>
      </c>
    </row>
    <row r="65" spans="1:11" x14ac:dyDescent="0.25">
      <c r="A65" s="25">
        <f t="shared" si="15"/>
        <v>40</v>
      </c>
      <c r="B65" s="25">
        <f t="shared" si="4"/>
        <v>85</v>
      </c>
      <c r="C65" s="26">
        <f t="shared" si="16"/>
        <v>8372377.0189314894</v>
      </c>
      <c r="D65" s="26">
        <f t="shared" si="10"/>
        <v>26496.475963378245</v>
      </c>
      <c r="E65" s="26">
        <f t="shared" si="11"/>
        <v>920961.47208246379</v>
      </c>
      <c r="F65" s="26">
        <f t="shared" si="17"/>
        <v>9319834.9669773318</v>
      </c>
      <c r="G65" s="9">
        <f t="shared" si="6"/>
        <v>8512926.2977753021</v>
      </c>
      <c r="H65" s="9">
        <f t="shared" si="8"/>
        <v>26941.279222970395</v>
      </c>
      <c r="I65" s="9">
        <f t="shared" si="9"/>
        <v>936421.89275528328</v>
      </c>
      <c r="J65" s="27">
        <f t="shared" si="2"/>
        <v>9476289.469753556</v>
      </c>
      <c r="K65" s="12">
        <f t="shared" si="7"/>
        <v>891568.43758701254</v>
      </c>
    </row>
    <row r="66" spans="1:11" x14ac:dyDescent="0.25">
      <c r="A66" s="25">
        <f t="shared" si="15"/>
        <v>41</v>
      </c>
      <c r="B66" s="25">
        <f t="shared" si="4"/>
        <v>86</v>
      </c>
      <c r="C66" s="26">
        <f t="shared" si="16"/>
        <v>9319834.9669773318</v>
      </c>
      <c r="D66" s="26">
        <f t="shared" si="10"/>
        <v>27026.405482645809</v>
      </c>
      <c r="E66" s="26">
        <f t="shared" si="11"/>
        <v>1025181.8463675065</v>
      </c>
      <c r="F66" s="26">
        <f t="shared" si="17"/>
        <v>10372043.218827484</v>
      </c>
      <c r="G66" s="9">
        <f t="shared" si="6"/>
        <v>9476289.469753556</v>
      </c>
      <c r="H66" s="9">
        <f t="shared" si="8"/>
        <v>27480.104807429805</v>
      </c>
      <c r="I66" s="9">
        <f t="shared" si="9"/>
        <v>1042391.8416728912</v>
      </c>
      <c r="J66" s="27">
        <f t="shared" si="2"/>
        <v>10546161.416233877</v>
      </c>
      <c r="K66" s="12">
        <f t="shared" si="7"/>
        <v>891568.43758701254</v>
      </c>
    </row>
    <row r="67" spans="1:11" x14ac:dyDescent="0.25">
      <c r="A67" s="25">
        <f t="shared" si="15"/>
        <v>42</v>
      </c>
      <c r="B67" s="25">
        <f t="shared" si="4"/>
        <v>87</v>
      </c>
      <c r="C67" s="26">
        <f t="shared" si="16"/>
        <v>10372043.218827484</v>
      </c>
      <c r="D67" s="26">
        <f t="shared" si="10"/>
        <v>27566.933592298727</v>
      </c>
      <c r="E67" s="26">
        <f t="shared" si="11"/>
        <v>1140924.7540710233</v>
      </c>
      <c r="F67" s="26">
        <f t="shared" si="17"/>
        <v>11540534.906490806</v>
      </c>
      <c r="G67" s="9">
        <f t="shared" si="6"/>
        <v>10546161.416233877</v>
      </c>
      <c r="H67" s="9">
        <f t="shared" si="8"/>
        <v>28029.706903578401</v>
      </c>
      <c r="I67" s="9">
        <f t="shared" si="9"/>
        <v>1160077.7557857265</v>
      </c>
      <c r="J67" s="27">
        <f t="shared" si="2"/>
        <v>11734268.878923181</v>
      </c>
      <c r="K67" s="12">
        <f t="shared" si="7"/>
        <v>891568.43758701254</v>
      </c>
    </row>
    <row r="68" spans="1:11" x14ac:dyDescent="0.25">
      <c r="A68" s="25">
        <f t="shared" si="15"/>
        <v>43</v>
      </c>
      <c r="B68" s="25">
        <f t="shared" si="4"/>
        <v>88</v>
      </c>
      <c r="C68" s="26">
        <f t="shared" si="16"/>
        <v>11540534.906490806</v>
      </c>
      <c r="D68" s="26">
        <f t="shared" si="10"/>
        <v>28118.2722641447</v>
      </c>
      <c r="E68" s="26">
        <f t="shared" si="11"/>
        <v>1269458.8397139888</v>
      </c>
      <c r="F68" s="26">
        <f t="shared" si="17"/>
        <v>12838112.018468941</v>
      </c>
      <c r="G68" s="9">
        <f t="shared" si="6"/>
        <v>11734268.878923181</v>
      </c>
      <c r="H68" s="9">
        <f t="shared" si="8"/>
        <v>28590.301041649967</v>
      </c>
      <c r="I68" s="9">
        <f t="shared" si="9"/>
        <v>1290769.5766815499</v>
      </c>
      <c r="J68" s="27">
        <f t="shared" si="2"/>
        <v>13053628.756646382</v>
      </c>
      <c r="K68" s="12">
        <f t="shared" si="7"/>
        <v>891568.43758701254</v>
      </c>
    </row>
    <row r="69" spans="1:11" x14ac:dyDescent="0.25">
      <c r="A69" s="25">
        <f t="shared" si="15"/>
        <v>44</v>
      </c>
      <c r="B69" s="25">
        <f t="shared" si="4"/>
        <v>89</v>
      </c>
      <c r="C69" s="26">
        <f t="shared" si="16"/>
        <v>12838112.018468941</v>
      </c>
      <c r="D69" s="26">
        <f t="shared" si="10"/>
        <v>28680.637709427596</v>
      </c>
      <c r="E69" s="26">
        <f t="shared" si="11"/>
        <v>1412192.3220315834</v>
      </c>
      <c r="F69" s="26">
        <f t="shared" si="17"/>
        <v>14278984.978209952</v>
      </c>
      <c r="G69" s="9">
        <f t="shared" si="6"/>
        <v>13053628.756646382</v>
      </c>
      <c r="H69" s="9">
        <f t="shared" si="8"/>
        <v>29162.107062482966</v>
      </c>
      <c r="I69" s="9">
        <f t="shared" si="9"/>
        <v>1435899.1632311021</v>
      </c>
      <c r="J69" s="27">
        <f t="shared" si="2"/>
        <v>14518690.026939968</v>
      </c>
      <c r="K69" s="12">
        <f t="shared" si="7"/>
        <v>891568.43758701254</v>
      </c>
    </row>
    <row r="70" spans="1:11" x14ac:dyDescent="0.25">
      <c r="A70" s="25">
        <f t="shared" si="15"/>
        <v>45</v>
      </c>
      <c r="B70" s="25">
        <f t="shared" si="4"/>
        <v>90</v>
      </c>
      <c r="C70" s="26">
        <f t="shared" si="16"/>
        <v>14278984.978209952</v>
      </c>
      <c r="D70" s="26">
        <f t="shared" si="10"/>
        <v>29254.250463616147</v>
      </c>
      <c r="E70" s="26">
        <f t="shared" si="11"/>
        <v>1570688.3476030948</v>
      </c>
      <c r="F70" s="26">
        <f t="shared" si="17"/>
        <v>15878927.576276664</v>
      </c>
      <c r="G70" s="9">
        <f t="shared" si="6"/>
        <v>14518690.026939968</v>
      </c>
      <c r="H70" s="9">
        <f t="shared" si="8"/>
        <v>29745.349203732625</v>
      </c>
      <c r="I70" s="9">
        <f t="shared" si="9"/>
        <v>1597055.9029633964</v>
      </c>
      <c r="J70" s="27">
        <f t="shared" si="2"/>
        <v>16145491.279107096</v>
      </c>
      <c r="K70" s="12">
        <f t="shared" si="7"/>
        <v>891568.43758701254</v>
      </c>
    </row>
    <row r="71" spans="1:11" x14ac:dyDescent="0.25">
      <c r="A71" s="25">
        <f t="shared" ref="A71" si="18">A70+1</f>
        <v>46</v>
      </c>
      <c r="B71" s="25">
        <f t="shared" si="4"/>
        <v>91</v>
      </c>
      <c r="C71" s="26">
        <f t="shared" ref="C71" si="19">F70</f>
        <v>15878927.576276664</v>
      </c>
      <c r="D71" s="26">
        <f t="shared" si="10"/>
        <v>29839.33547288847</v>
      </c>
      <c r="E71" s="26">
        <f t="shared" si="11"/>
        <v>1746682.0333904331</v>
      </c>
      <c r="F71" s="26">
        <f t="shared" ref="F71" si="20">C71+D71+E71</f>
        <v>17655448.945139986</v>
      </c>
      <c r="G71" s="9">
        <f t="shared" si="6"/>
        <v>16145491.279107096</v>
      </c>
      <c r="H71" s="9">
        <f t="shared" si="8"/>
        <v>30340.256187807277</v>
      </c>
      <c r="I71" s="9">
        <f t="shared" si="9"/>
        <v>1776004.0407017805</v>
      </c>
      <c r="J71" s="27">
        <f t="shared" si="2"/>
        <v>17951835.575996682</v>
      </c>
      <c r="K71" s="12">
        <f t="shared" si="7"/>
        <v>891568.43758701254</v>
      </c>
    </row>
    <row r="72" spans="1:11" x14ac:dyDescent="0.25">
      <c r="A72" s="25">
        <f>A71+1</f>
        <v>47</v>
      </c>
      <c r="B72" s="25">
        <f t="shared" si="4"/>
        <v>92</v>
      </c>
      <c r="C72" s="26">
        <f>F71</f>
        <v>17655448.945139986</v>
      </c>
      <c r="D72" s="26">
        <f t="shared" si="10"/>
        <v>30436.12218234624</v>
      </c>
      <c r="E72" s="26">
        <f t="shared" si="11"/>
        <v>1942099.3839653984</v>
      </c>
      <c r="F72" s="26">
        <f>C72+D72+E72</f>
        <v>19627984.451287732</v>
      </c>
      <c r="G72" s="9">
        <f t="shared" si="6"/>
        <v>17951835.575996682</v>
      </c>
      <c r="H72" s="9">
        <f t="shared" si="8"/>
        <v>30947.061311563422</v>
      </c>
      <c r="I72" s="9">
        <f t="shared" si="9"/>
        <v>1974701.913359635</v>
      </c>
      <c r="J72" s="27">
        <f t="shared" si="2"/>
        <v>19957484.550667878</v>
      </c>
      <c r="K72" s="12">
        <f t="shared" si="7"/>
        <v>891568.43758701254</v>
      </c>
    </row>
    <row r="73" spans="1:11" x14ac:dyDescent="0.25">
      <c r="A73" s="25">
        <f>A72+1</f>
        <v>48</v>
      </c>
      <c r="B73" s="25">
        <f t="shared" si="4"/>
        <v>93</v>
      </c>
      <c r="C73" s="26">
        <f>F72</f>
        <v>19627984.451287732</v>
      </c>
      <c r="D73" s="26">
        <f t="shared" si="10"/>
        <v>31044.844625993166</v>
      </c>
      <c r="E73" s="26">
        <f t="shared" si="11"/>
        <v>2159078.2896416504</v>
      </c>
      <c r="F73" s="26">
        <f>C73+D73+E73</f>
        <v>21818107.585555375</v>
      </c>
      <c r="G73" s="9">
        <f t="shared" si="6"/>
        <v>19957484.550667878</v>
      </c>
      <c r="H73" s="9">
        <f t="shared" si="8"/>
        <v>31566.002537794691</v>
      </c>
      <c r="I73" s="9">
        <f t="shared" si="9"/>
        <v>2195323.3005734668</v>
      </c>
      <c r="J73" s="27">
        <f t="shared" si="2"/>
        <v>22184373.853779141</v>
      </c>
      <c r="K73" s="12">
        <f t="shared" si="7"/>
        <v>891568.43758701254</v>
      </c>
    </row>
    <row r="74" spans="1:11" x14ac:dyDescent="0.25">
      <c r="A74" s="25">
        <f>A73+1</f>
        <v>49</v>
      </c>
      <c r="B74" s="25">
        <f t="shared" si="4"/>
        <v>94</v>
      </c>
      <c r="C74" s="26">
        <f>F73</f>
        <v>21818107.585555375</v>
      </c>
      <c r="D74" s="26">
        <f t="shared" si="10"/>
        <v>31665.74151851303</v>
      </c>
      <c r="E74" s="26">
        <f t="shared" si="11"/>
        <v>2399991.8344110912</v>
      </c>
      <c r="F74" s="26">
        <f>C74+D74+E74</f>
        <v>24249765.161484979</v>
      </c>
      <c r="G74" s="9">
        <f t="shared" si="6"/>
        <v>22184373.853779141</v>
      </c>
      <c r="H74" s="9">
        <f t="shared" si="8"/>
        <v>32197.322588550585</v>
      </c>
      <c r="I74" s="9">
        <f t="shared" si="9"/>
        <v>2440281.1239157054</v>
      </c>
      <c r="J74" s="27">
        <f t="shared" si="2"/>
        <v>24656852.300283398</v>
      </c>
      <c r="K74" s="12">
        <f t="shared" si="7"/>
        <v>891568.43758701254</v>
      </c>
    </row>
    <row r="75" spans="1:11" x14ac:dyDescent="0.25">
      <c r="A75" s="25">
        <f t="shared" ref="A75:A80" si="21">A74+1</f>
        <v>50</v>
      </c>
      <c r="B75" s="25">
        <f t="shared" si="4"/>
        <v>95</v>
      </c>
      <c r="C75" s="26">
        <f t="shared" ref="C75:C80" si="22">F74</f>
        <v>24249765.161484979</v>
      </c>
      <c r="D75" s="26">
        <f t="shared" si="10"/>
        <v>32299.056348883292</v>
      </c>
      <c r="E75" s="26">
        <f t="shared" si="11"/>
        <v>2667474.1677633477</v>
      </c>
      <c r="F75" s="26">
        <f t="shared" ref="F75:F80" si="23">C75+D75+E75</f>
        <v>26949538.38559721</v>
      </c>
      <c r="G75" s="9">
        <f t="shared" si="6"/>
        <v>24656852.300283398</v>
      </c>
      <c r="H75" s="9">
        <f t="shared" si="8"/>
        <v>32841.269040321597</v>
      </c>
      <c r="I75" s="9">
        <f t="shared" si="9"/>
        <v>2712253.7530311737</v>
      </c>
      <c r="J75" s="27">
        <f t="shared" si="2"/>
        <v>27401947.32235489</v>
      </c>
      <c r="K75" s="12">
        <f t="shared" si="7"/>
        <v>891568.43758701254</v>
      </c>
    </row>
    <row r="76" spans="1:11" x14ac:dyDescent="0.25">
      <c r="A76" s="25">
        <f t="shared" si="21"/>
        <v>51</v>
      </c>
      <c r="B76" s="25">
        <f t="shared" si="4"/>
        <v>96</v>
      </c>
      <c r="C76" s="26">
        <f t="shared" si="22"/>
        <v>26949538.38559721</v>
      </c>
      <c r="D76" s="26">
        <f t="shared" si="10"/>
        <v>32945.037475860961</v>
      </c>
      <c r="E76" s="26">
        <f t="shared" si="11"/>
        <v>2964449.2224156931</v>
      </c>
      <c r="F76" s="26">
        <f t="shared" si="23"/>
        <v>29946932.645488765</v>
      </c>
      <c r="G76" s="9">
        <f t="shared" si="6"/>
        <v>27401947.32235489</v>
      </c>
      <c r="H76" s="9">
        <f t="shared" si="8"/>
        <v>33498.094421128029</v>
      </c>
      <c r="I76" s="9">
        <f t="shared" si="9"/>
        <v>3014214.2054590378</v>
      </c>
      <c r="J76" s="27">
        <f t="shared" si="2"/>
        <v>30449659.62223506</v>
      </c>
      <c r="K76" s="12">
        <f t="shared" si="7"/>
        <v>891568.43758701254</v>
      </c>
    </row>
    <row r="77" spans="1:11" x14ac:dyDescent="0.25">
      <c r="A77" s="25">
        <f t="shared" si="21"/>
        <v>52</v>
      </c>
      <c r="B77" s="25">
        <f t="shared" si="4"/>
        <v>97</v>
      </c>
      <c r="C77" s="26">
        <f t="shared" si="22"/>
        <v>29946932.645488765</v>
      </c>
      <c r="D77" s="26">
        <f t="shared" si="10"/>
        <v>33603.938225378181</v>
      </c>
      <c r="E77" s="26">
        <f t="shared" si="11"/>
        <v>3294162.591003764</v>
      </c>
      <c r="F77" s="26">
        <f t="shared" si="23"/>
        <v>33274699.174717907</v>
      </c>
      <c r="G77" s="9">
        <f t="shared" si="6"/>
        <v>30449659.62223506</v>
      </c>
      <c r="H77" s="9">
        <f t="shared" si="8"/>
        <v>34168.056309550593</v>
      </c>
      <c r="I77" s="9">
        <f t="shared" si="9"/>
        <v>3349462.5584458564</v>
      </c>
      <c r="J77" s="27">
        <f t="shared" si="2"/>
        <v>33833290.236990467</v>
      </c>
      <c r="K77" s="12">
        <f t="shared" si="7"/>
        <v>891568.43758701254</v>
      </c>
    </row>
    <row r="78" spans="1:11" x14ac:dyDescent="0.25">
      <c r="A78" s="25">
        <f t="shared" si="21"/>
        <v>53</v>
      </c>
      <c r="B78" s="25">
        <f t="shared" si="4"/>
        <v>98</v>
      </c>
      <c r="C78" s="26">
        <f t="shared" si="22"/>
        <v>33274699.174717907</v>
      </c>
      <c r="D78" s="26">
        <f t="shared" si="10"/>
        <v>34276.016989885742</v>
      </c>
      <c r="E78" s="26">
        <f t="shared" si="11"/>
        <v>3660216.9092189698</v>
      </c>
      <c r="F78" s="26">
        <f t="shared" si="23"/>
        <v>36969192.100926764</v>
      </c>
      <c r="G78" s="9">
        <f t="shared" si="6"/>
        <v>33833290.236990467</v>
      </c>
      <c r="H78" s="9">
        <f t="shared" si="8"/>
        <v>34851.417435741605</v>
      </c>
      <c r="I78" s="9">
        <f t="shared" si="9"/>
        <v>3721661.9260689514</v>
      </c>
      <c r="J78" s="27">
        <f t="shared" si="2"/>
        <v>37589803.580495164</v>
      </c>
      <c r="K78" s="12">
        <f t="shared" si="7"/>
        <v>891568.43758701254</v>
      </c>
    </row>
    <row r="79" spans="1:11" x14ac:dyDescent="0.25">
      <c r="A79" s="25">
        <f t="shared" si="21"/>
        <v>54</v>
      </c>
      <c r="B79" s="25">
        <f t="shared" si="4"/>
        <v>99</v>
      </c>
      <c r="C79" s="26">
        <f t="shared" si="22"/>
        <v>36969192.100926764</v>
      </c>
      <c r="D79" s="26">
        <f t="shared" si="10"/>
        <v>34961.537329683459</v>
      </c>
      <c r="E79" s="26">
        <f t="shared" si="11"/>
        <v>4066611.131101944</v>
      </c>
      <c r="F79" s="26">
        <f t="shared" si="23"/>
        <v>41070764.769358389</v>
      </c>
      <c r="G79" s="9">
        <f t="shared" si="6"/>
        <v>37589803.580495164</v>
      </c>
      <c r="H79" s="9">
        <f t="shared" si="8"/>
        <v>35548.445784456439</v>
      </c>
      <c r="I79" s="9">
        <f t="shared" si="9"/>
        <v>4134878.3938544681</v>
      </c>
      <c r="J79" s="27">
        <f t="shared" si="2"/>
        <v>41760230.42013409</v>
      </c>
      <c r="K79" s="12">
        <f t="shared" si="7"/>
        <v>891568.43758701254</v>
      </c>
    </row>
    <row r="80" spans="1:11" x14ac:dyDescent="0.25">
      <c r="A80" s="25">
        <f t="shared" si="21"/>
        <v>55</v>
      </c>
      <c r="B80" s="25">
        <f t="shared" si="4"/>
        <v>100</v>
      </c>
      <c r="C80" s="26">
        <f t="shared" si="22"/>
        <v>41070764.769358389</v>
      </c>
      <c r="D80" s="26">
        <f t="shared" si="10"/>
        <v>35660.768076277127</v>
      </c>
      <c r="E80" s="26">
        <f t="shared" si="11"/>
        <v>4517784.124629423</v>
      </c>
      <c r="F80" s="26">
        <f t="shared" si="23"/>
        <v>45624209.66206409</v>
      </c>
      <c r="G80" s="9">
        <f t="shared" si="6"/>
        <v>41760230.42013409</v>
      </c>
      <c r="H80" s="9">
        <f t="shared" si="8"/>
        <v>36259.414700145571</v>
      </c>
      <c r="I80" s="9">
        <f t="shared" si="9"/>
        <v>4593625.3462147499</v>
      </c>
      <c r="J80" s="27">
        <f t="shared" si="2"/>
        <v>46390115.181048982</v>
      </c>
      <c r="K80" s="12">
        <f t="shared" si="7"/>
        <v>891568.43758701254</v>
      </c>
    </row>
  </sheetData>
  <mergeCells count="2">
    <mergeCell ref="C23:F23"/>
    <mergeCell ref="G23:K23"/>
  </mergeCells>
  <conditionalFormatting sqref="E13">
    <cfRule type="cellIs" dxfId="4" priority="1" operator="lessThan">
      <formula>0</formula>
    </cfRule>
    <cfRule type="cellIs" dxfId="3" priority="2" operator="greaterThan">
      <formula>0</formula>
    </cfRule>
    <cfRule type="cellIs" dxfId="2" priority="3" operator="greaterThan">
      <formula>0</formula>
    </cfRule>
    <cfRule type="cellIs" dxfId="1" priority="5" stopIfTrue="1" operator="greaterThan">
      <formula>0</formula>
    </cfRule>
  </conditionalFormatting>
  <conditionalFormatting sqref="I5:I12">
    <cfRule type="cellIs" dxfId="0" priority="4" stopIfTrue="1" operator="equal">
      <formula>"Yes"</formula>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441B1-8C67-4060-B71B-F55FE728EE95}">
  <sheetPr codeName="Sheet1"/>
  <dimension ref="A1:C22"/>
  <sheetViews>
    <sheetView workbookViewId="0">
      <selection activeCell="C23" sqref="C23"/>
    </sheetView>
  </sheetViews>
  <sheetFormatPr defaultRowHeight="15" x14ac:dyDescent="0.25"/>
  <cols>
    <col min="1" max="1" width="54.42578125" customWidth="1"/>
    <col min="2" max="2" width="13.28515625" customWidth="1"/>
  </cols>
  <sheetData>
    <row r="1" spans="1:3" x14ac:dyDescent="0.25">
      <c r="A1" s="1" t="s">
        <v>46</v>
      </c>
    </row>
    <row r="3" spans="1:3" x14ac:dyDescent="0.25">
      <c r="A3" t="s">
        <v>47</v>
      </c>
      <c r="B3" s="30">
        <f>Simulator!B8</f>
        <v>3000</v>
      </c>
    </row>
    <row r="4" spans="1:3" x14ac:dyDescent="0.25">
      <c r="A4" t="s">
        <v>48</v>
      </c>
      <c r="B4" s="30">
        <f>Simulator!E4</f>
        <v>4457.8421879350626</v>
      </c>
    </row>
    <row r="5" spans="1:3" x14ac:dyDescent="0.25">
      <c r="B5" s="30"/>
    </row>
    <row r="6" spans="1:3" x14ac:dyDescent="0.25">
      <c r="A6" t="s">
        <v>49</v>
      </c>
      <c r="B6" s="30">
        <f>Simulator!E4</f>
        <v>4457.8421879350626</v>
      </c>
    </row>
    <row r="7" spans="1:3" x14ac:dyDescent="0.25">
      <c r="A7" t="s">
        <v>50</v>
      </c>
      <c r="B7" s="30">
        <f>Simulator!E5</f>
        <v>891568.43758701254</v>
      </c>
    </row>
    <row r="8" spans="1:3" x14ac:dyDescent="0.25">
      <c r="A8" t="s">
        <v>51</v>
      </c>
      <c r="B8" s="32">
        <f>Simulator!B5</f>
        <v>65</v>
      </c>
    </row>
    <row r="10" spans="1:3" ht="75" x14ac:dyDescent="0.25">
      <c r="A10" s="33" t="s">
        <v>52</v>
      </c>
    </row>
    <row r="13" spans="1:3" x14ac:dyDescent="0.25">
      <c r="A13" t="s">
        <v>53</v>
      </c>
      <c r="B13" s="31">
        <f>Simulator!E9</f>
        <v>876848.5520201046</v>
      </c>
    </row>
    <row r="14" spans="1:3" x14ac:dyDescent="0.25">
      <c r="A14" t="s">
        <v>54</v>
      </c>
      <c r="B14">
        <f>YearsPlusMinus</f>
        <v>1</v>
      </c>
      <c r="C14" t="s">
        <v>55</v>
      </c>
    </row>
    <row r="15" spans="1:3" x14ac:dyDescent="0.25">
      <c r="A15" t="s">
        <v>56</v>
      </c>
      <c r="B15" s="3">
        <f>Simulator!E14</f>
        <v>66</v>
      </c>
    </row>
    <row r="18" spans="1:2" x14ac:dyDescent="0.25">
      <c r="A18" t="s">
        <v>57</v>
      </c>
      <c r="B18" s="30">
        <f>Simulator!B9</f>
        <v>1000</v>
      </c>
    </row>
    <row r="19" spans="1:2" x14ac:dyDescent="0.25">
      <c r="A19" t="s">
        <v>58</v>
      </c>
      <c r="B19" s="30">
        <f>Simulator!E18</f>
        <v>1016.7872610760364</v>
      </c>
    </row>
    <row r="21" spans="1:2" ht="15.75" thickBot="1" x14ac:dyDescent="0.3"/>
    <row r="22" spans="1:2" ht="15.75" thickBot="1" x14ac:dyDescent="0.3">
      <c r="A22" t="s">
        <v>59</v>
      </c>
      <c r="B22" s="40">
        <f>Simulator!F13</f>
        <v>-1.6510101688600152E-2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6F529-0727-4593-988C-7592EAB185FF}">
  <dimension ref="B1:I13"/>
  <sheetViews>
    <sheetView topLeftCell="A5" workbookViewId="0">
      <selection activeCell="G7" sqref="G7"/>
    </sheetView>
  </sheetViews>
  <sheetFormatPr defaultRowHeight="15" x14ac:dyDescent="0.25"/>
  <cols>
    <col min="2" max="2" width="38.85546875" customWidth="1"/>
    <col min="3" max="6" width="25.42578125" customWidth="1"/>
    <col min="7" max="7" width="40.42578125" customWidth="1"/>
    <col min="8" max="9" width="25.42578125" customWidth="1"/>
  </cols>
  <sheetData>
    <row r="1" spans="2:9" ht="15.75" thickBot="1" x14ac:dyDescent="0.3"/>
    <row r="2" spans="2:9" ht="15.75" thickBot="1" x14ac:dyDescent="0.3">
      <c r="B2" t="s">
        <v>59</v>
      </c>
      <c r="C2" s="40">
        <f>Interpretation!B22</f>
        <v>-1.6510101688600152E-2</v>
      </c>
    </row>
    <row r="5" spans="2:9" ht="94.5" customHeight="1" x14ac:dyDescent="0.25">
      <c r="B5" s="37" t="s">
        <v>60</v>
      </c>
      <c r="C5" s="37" t="s">
        <v>61</v>
      </c>
      <c r="D5" s="37" t="s">
        <v>62</v>
      </c>
      <c r="E5" s="37" t="s">
        <v>63</v>
      </c>
      <c r="F5" s="37" t="s">
        <v>64</v>
      </c>
      <c r="G5" s="37" t="s">
        <v>65</v>
      </c>
      <c r="H5" s="37" t="s">
        <v>66</v>
      </c>
      <c r="I5" s="37" t="s">
        <v>67</v>
      </c>
    </row>
    <row r="6" spans="2:9" ht="94.5" customHeight="1" x14ac:dyDescent="0.25">
      <c r="B6" s="39" t="s">
        <v>68</v>
      </c>
      <c r="C6" s="39" t="s">
        <v>69</v>
      </c>
      <c r="D6" s="38" t="s">
        <v>70</v>
      </c>
      <c r="E6" s="38" t="s">
        <v>71</v>
      </c>
      <c r="F6" s="38" t="s">
        <v>72</v>
      </c>
      <c r="G6" s="38" t="s">
        <v>73</v>
      </c>
      <c r="H6" s="38" t="s">
        <v>74</v>
      </c>
      <c r="I6" s="38" t="s">
        <v>75</v>
      </c>
    </row>
    <row r="7" spans="2:9" ht="94.5" customHeight="1" x14ac:dyDescent="0.25">
      <c r="B7" s="39" t="s">
        <v>76</v>
      </c>
      <c r="C7" s="39" t="s">
        <v>77</v>
      </c>
      <c r="D7" s="38" t="s">
        <v>78</v>
      </c>
      <c r="E7" s="38" t="s">
        <v>79</v>
      </c>
      <c r="F7" s="38" t="s">
        <v>80</v>
      </c>
      <c r="G7" s="38" t="s">
        <v>81</v>
      </c>
      <c r="H7" s="38" t="s">
        <v>82</v>
      </c>
      <c r="I7" s="38" t="s">
        <v>83</v>
      </c>
    </row>
    <row r="8" spans="2:9" ht="94.5" customHeight="1" x14ac:dyDescent="0.25">
      <c r="B8" s="39" t="s">
        <v>84</v>
      </c>
      <c r="C8" s="39" t="s">
        <v>85</v>
      </c>
      <c r="D8" s="38" t="s">
        <v>86</v>
      </c>
      <c r="E8" s="38" t="s">
        <v>87</v>
      </c>
      <c r="F8" s="38" t="s">
        <v>88</v>
      </c>
      <c r="G8" s="38" t="s">
        <v>89</v>
      </c>
      <c r="H8" s="38" t="s">
        <v>90</v>
      </c>
      <c r="I8" s="38" t="s">
        <v>91</v>
      </c>
    </row>
    <row r="9" spans="2:9" ht="94.5" customHeight="1" x14ac:dyDescent="0.25">
      <c r="B9" s="39" t="s">
        <v>92</v>
      </c>
      <c r="C9" s="39" t="s">
        <v>93</v>
      </c>
      <c r="D9" s="38" t="s">
        <v>94</v>
      </c>
      <c r="E9" s="38" t="s">
        <v>95</v>
      </c>
      <c r="F9" s="38" t="s">
        <v>96</v>
      </c>
      <c r="G9" s="38" t="s">
        <v>97</v>
      </c>
      <c r="H9" s="38" t="s">
        <v>98</v>
      </c>
      <c r="I9" s="38" t="s">
        <v>99</v>
      </c>
    </row>
    <row r="10" spans="2:9" ht="94.5" customHeight="1" x14ac:dyDescent="0.25">
      <c r="B10" s="39" t="s">
        <v>100</v>
      </c>
      <c r="C10" s="39" t="s">
        <v>101</v>
      </c>
      <c r="D10" s="38" t="s">
        <v>102</v>
      </c>
      <c r="E10" s="38" t="s">
        <v>103</v>
      </c>
      <c r="F10" s="38" t="s">
        <v>104</v>
      </c>
      <c r="G10" s="38" t="s">
        <v>105</v>
      </c>
      <c r="H10" s="38" t="s">
        <v>106</v>
      </c>
      <c r="I10" s="38" t="s">
        <v>107</v>
      </c>
    </row>
    <row r="11" spans="2:9" ht="94.5" customHeight="1" x14ac:dyDescent="0.25">
      <c r="B11" s="39" t="s">
        <v>108</v>
      </c>
      <c r="C11" s="39" t="s">
        <v>109</v>
      </c>
      <c r="D11" s="38" t="s">
        <v>110</v>
      </c>
      <c r="E11" s="38" t="s">
        <v>111</v>
      </c>
      <c r="F11" s="38" t="s">
        <v>112</v>
      </c>
      <c r="G11" s="38" t="s">
        <v>113</v>
      </c>
      <c r="H11" s="38" t="s">
        <v>114</v>
      </c>
      <c r="I11" s="38" t="s">
        <v>115</v>
      </c>
    </row>
    <row r="12" spans="2:9" ht="94.5" customHeight="1" x14ac:dyDescent="0.25">
      <c r="B12" s="39" t="s">
        <v>116</v>
      </c>
      <c r="C12" s="39" t="s">
        <v>117</v>
      </c>
      <c r="D12" s="38" t="s">
        <v>118</v>
      </c>
      <c r="E12" s="38" t="s">
        <v>119</v>
      </c>
      <c r="F12" s="38" t="s">
        <v>120</v>
      </c>
      <c r="G12" s="38" t="s">
        <v>121</v>
      </c>
      <c r="H12" s="38" t="s">
        <v>122</v>
      </c>
      <c r="I12" s="38" t="s">
        <v>123</v>
      </c>
    </row>
    <row r="13" spans="2:9" ht="94.5" customHeight="1" x14ac:dyDescent="0.25">
      <c r="B13" s="39" t="s">
        <v>124</v>
      </c>
      <c r="C13" s="39" t="s">
        <v>125</v>
      </c>
      <c r="D13" s="38" t="s">
        <v>126</v>
      </c>
      <c r="E13" s="38" t="s">
        <v>127</v>
      </c>
      <c r="F13" s="38" t="s">
        <v>128</v>
      </c>
      <c r="G13" s="38" t="s">
        <v>129</v>
      </c>
      <c r="H13" s="38" t="s">
        <v>130</v>
      </c>
      <c r="I13" s="38" t="s">
        <v>131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Simulator</vt:lpstr>
      <vt:lpstr>Interpretation</vt:lpstr>
      <vt:lpstr>Rules variations &amp; narratives</vt:lpstr>
      <vt:lpstr>ExtraMonthlySavings</vt:lpstr>
      <vt:lpstr>GapAtTarget</vt:lpstr>
      <vt:lpstr>YearsPlusMinus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ZR Gelios</dc:creator>
  <cp:keywords/>
  <dc:description/>
  <cp:lastModifiedBy>ZR Gelios</cp:lastModifiedBy>
  <cp:revision/>
  <dcterms:created xsi:type="dcterms:W3CDTF">2025-08-15T12:14:42Z</dcterms:created>
  <dcterms:modified xsi:type="dcterms:W3CDTF">2025-10-06T16:29:33Z</dcterms:modified>
  <cp:category/>
  <cp:contentStatus/>
</cp:coreProperties>
</file>